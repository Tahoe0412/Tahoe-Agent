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Unit_Costs" sheetId="3" state="visible" r:id="rId3"/>
    <sheet xmlns:r="http://schemas.openxmlformats.org/officeDocument/2006/relationships" name="Project_Estimator" sheetId="4" state="visible" r:id="rId4"/>
    <sheet xmlns:r="http://schemas.openxmlformats.org/officeDocument/2006/relationships" name="Monthly_Budget" sheetId="5" state="visible" r:id="rId5"/>
    <sheet xmlns:r="http://schemas.openxmlformats.org/officeDocument/2006/relationships" name="Project_Ledger" sheetId="6" state="visible" r:id="rId6"/>
    <sheet xmlns:r="http://schemas.openxmlformats.org/officeDocument/2006/relationships" name="Subscriptions" sheetId="7" state="visible" r:id="rId7"/>
    <sheet xmlns:r="http://schemas.openxmlformats.org/officeDocument/2006/relationships" name="Pricing_Sources" sheetId="8" state="visible" r:id="rId8"/>
  </sheets>
  <definedNames>
    <definedName name="_xlnm._FilterDatabase" localSheetId="2" hidden="1">'Unit_Costs'!$A$1:$K$19</definedName>
    <definedName name="_xlnm._FilterDatabase" localSheetId="3" hidden="1">'Project_Estimator'!$A$3:$F$38</definedName>
    <definedName name="_xlnm._FilterDatabase" localSheetId="5" hidden="1">'Project_Ledger'!$A$1:$U$200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0F1720"/>
      <sz val="16"/>
    </font>
    <font>
      <b val="1"/>
      <color rgb="000F1720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CEFF4"/>
      </patternFill>
    </fill>
    <fill>
      <patternFill patternType="solid">
        <fgColor rgb="000F3D5E"/>
      </patternFill>
    </fill>
    <fill>
      <patternFill patternType="solid">
        <fgColor rgb="00F4F8FA"/>
      </patternFill>
    </fill>
  </fills>
  <borders count="2">
    <border>
      <left/>
      <right/>
      <top/>
      <bottom/>
      <diagonal/>
    </border>
    <border>
      <left style="thin">
        <color rgb="00D9E6EC"/>
      </left>
      <right style="thin">
        <color rgb="00D9E6EC"/>
      </right>
      <top style="thin">
        <color rgb="00D9E6EC"/>
      </top>
      <bottom style="thin">
        <color rgb="00D9E6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 ht="22" customHeight="1">
      <c r="A1" s="1" t="inlineStr">
        <is>
          <t>Tahoe 成本与预算模板</t>
        </is>
      </c>
    </row>
    <row r="2" ht="22" customHeight="1"/>
    <row r="3" ht="22" customHeight="1">
      <c r="A3" s="2" t="inlineStr">
        <is>
          <t>使用顺序</t>
        </is>
      </c>
    </row>
    <row r="4" ht="22" customHeight="1">
      <c r="A4" t="inlineStr">
        <is>
          <t>1. 先在 Parameters 填汇率、风险预留比例、默认固定成本。</t>
        </is>
      </c>
    </row>
    <row r="5" ht="22" customHeight="1">
      <c r="A5" t="inlineStr">
        <is>
          <t>2. 在 Unit_Costs 维护各模块单次成本与平均版本次数。</t>
        </is>
      </c>
    </row>
    <row r="6" ht="22" customHeight="1">
      <c r="A6" t="inlineStr">
        <is>
          <t>3. 在 Project_Estimator 按项目类型估算首版成本、试错成本、上架成本。</t>
        </is>
      </c>
    </row>
    <row r="7" ht="22" customHeight="1">
      <c r="A7" t="inlineStr">
        <is>
          <t>4. 在 Monthly_Budget 输入当月各类型项目数量，查看预算。</t>
        </is>
      </c>
    </row>
    <row r="8" ht="22" customHeight="1">
      <c r="A8" t="inlineStr">
        <is>
          <t>5. 在 Project_Ledger 逐项目登记实际发生额，月底复盘预算差异。</t>
        </is>
      </c>
    </row>
    <row r="9" ht="22" customHeight="1"/>
    <row r="10" ht="22" customHeight="1">
      <c r="A10" s="2" t="inlineStr">
        <is>
          <t>专业口径说明</t>
        </is>
      </c>
    </row>
    <row r="11" ht="22" customHeight="1">
      <c r="A11" t="inlineStr">
        <is>
          <t>直接成本：文本、图片、视频、搜索 API 调用费。</t>
        </is>
      </c>
    </row>
    <row r="12" ht="22" customHeight="1">
      <c r="A12" t="inlineStr">
        <is>
          <t>固定成本：服务器、数据库、SerpApi 月费、对象存储基础包等。</t>
        </is>
      </c>
    </row>
    <row r="13" ht="22" customHeight="1">
      <c r="A13" t="inlineStr">
        <is>
          <t>研发费用：开发、设计、测试、运维工时。</t>
        </is>
      </c>
    </row>
    <row r="14" ht="22" customHeight="1">
      <c r="A14" t="inlineStr">
        <is>
          <t>试错成本：改稿、重出图、重出视频、多轮 review 等返工成本。</t>
        </is>
      </c>
    </row>
    <row r="15" ht="22" customHeight="1">
      <c r="A15" t="inlineStr">
        <is>
          <t>建议同时记录“首版成本”和“最终上架成本”，避免低估 AI 项目真实成本。</t>
        </is>
      </c>
    </row>
    <row r="16" ht="22" customHeight="1"/>
    <row r="17" ht="22" customHeight="1"/>
    <row r="18" ht="22" customHeight="1">
      <c r="A18" s="2" t="inlineStr">
        <is>
          <t>项目类型定义</t>
        </is>
      </c>
    </row>
    <row r="19" ht="22" customHeight="1">
      <c r="A19" t="inlineStr">
        <is>
          <t>TEXT_ONLY：纯文本交付，如主稿、标题包、平台改写、发布文案。</t>
        </is>
      </c>
    </row>
    <row r="20" ht="22" customHeight="1">
      <c r="A20" t="inlineStr">
        <is>
          <t>TEXT_STORYBOARD：文本 + 分镜，但不直接出图 / 出视频。</t>
        </is>
      </c>
    </row>
    <row r="21" ht="22" customHeight="1">
      <c r="A21" t="inlineStr">
        <is>
          <t>TEXT_IMAGE：文本 + 分镜 + 文生图。</t>
        </is>
      </c>
    </row>
    <row r="22" ht="22" customHeight="1">
      <c r="A22" t="inlineStr">
        <is>
          <t>TEXT_IMAGE_VIDEO：文本 + 分镜 + 图片 + 视频，完整多模态交付。</t>
        </is>
      </c>
    </row>
    <row r="23" ht="22" customHeight="1"/>
    <row r="24" ht="22" customHeight="1"/>
    <row r="25" ht="22" customHeight="1">
      <c r="A25" s="2" t="inlineStr">
        <is>
          <t>文件说明</t>
        </is>
      </c>
    </row>
    <row r="26" ht="22" customHeight="1">
      <c r="A26" t="inlineStr">
        <is>
          <t>本模板已经预填 Tahoe 当前建议的质量优先模型分工，可直接修改。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60" customWidth="1" min="3" max="3"/>
  </cols>
  <sheetData>
    <row r="1" ht="22" customHeight="1">
      <c r="A1" s="3" t="inlineStr">
        <is>
          <t>参数</t>
        </is>
      </c>
      <c r="B1" s="3" t="inlineStr">
        <is>
          <t>值</t>
        </is>
      </c>
      <c r="C1" s="3" t="inlineStr">
        <is>
          <t>说明</t>
        </is>
      </c>
    </row>
    <row r="2" ht="22" customHeight="1">
      <c r="A2" s="4" t="inlineStr">
        <is>
          <t>USD_CNY_RATE</t>
        </is>
      </c>
      <c r="B2" s="5" t="n">
        <v>7.2</v>
      </c>
      <c r="C2" s="4" t="inlineStr">
        <is>
          <t>美元兑人民币内部预算汇率</t>
        </is>
      </c>
    </row>
    <row r="3" ht="22" customHeight="1">
      <c r="A3" s="4" t="inlineStr">
        <is>
          <t>RISK_BUFFER_RATE</t>
        </is>
      </c>
      <c r="B3" s="6" t="n">
        <v>0.15</v>
      </c>
      <c r="C3" s="4" t="inlineStr">
        <is>
          <t>风险预留比例，建议 10%-20%</t>
        </is>
      </c>
    </row>
    <row r="4" ht="22" customHeight="1">
      <c r="A4" s="4" t="inlineStr">
        <is>
          <t>GPT54_INPUT_PER_1M</t>
        </is>
      </c>
      <c r="B4" s="7" t="n">
        <v>2.5</v>
      </c>
      <c r="C4" s="4" t="inlineStr">
        <is>
          <t>OpenAI GPT-5.4 官方输入单价 / 1M tokens</t>
        </is>
      </c>
    </row>
    <row r="5" ht="22" customHeight="1">
      <c r="A5" s="4" t="inlineStr">
        <is>
          <t>GPT54_OUTPUT_PER_1M</t>
        </is>
      </c>
      <c r="B5" s="7" t="n">
        <v>15</v>
      </c>
      <c r="C5" s="4" t="inlineStr">
        <is>
          <t>OpenAI GPT-5.4 官方输出单价 / 1M tokens</t>
        </is>
      </c>
    </row>
    <row r="6" ht="22" customHeight="1">
      <c r="A6" s="4" t="inlineStr">
        <is>
          <t>GPT54MINI_PROXY_INPUT_PER_1M</t>
        </is>
      </c>
      <c r="B6" s="7" t="n">
        <v>0.25</v>
      </c>
      <c r="C6" s="4" t="inlineStr">
        <is>
          <t>gpt-5.4-mini 预算口径暂按 OpenAI 官方 GPT-5 mini 输入价代理估算</t>
        </is>
      </c>
    </row>
    <row r="7" ht="22" customHeight="1">
      <c r="A7" s="4" t="inlineStr">
        <is>
          <t>GPT54MINI_PROXY_OUTPUT_PER_1M</t>
        </is>
      </c>
      <c r="B7" s="7" t="n">
        <v>2</v>
      </c>
      <c r="C7" s="4" t="inlineStr">
        <is>
          <t>gpt-5.4-mini 预算口径暂按 OpenAI 官方 GPT-5 mini 输出价代理估算</t>
        </is>
      </c>
    </row>
    <row r="8" ht="22" customHeight="1">
      <c r="A8" s="4" t="inlineStr">
        <is>
          <t>GEMINI31PRO_INPUT_PER_1M</t>
        </is>
      </c>
      <c r="B8" s="7" t="n">
        <v>2</v>
      </c>
      <c r="C8" s="4" t="inlineStr">
        <is>
          <t>Gemini 3 Pro Preview &lt;=200K prompt 输入单价</t>
        </is>
      </c>
    </row>
    <row r="9" ht="22" customHeight="1">
      <c r="A9" s="4" t="inlineStr">
        <is>
          <t>GEMINI31PRO_OUTPUT_PER_1M</t>
        </is>
      </c>
      <c r="B9" s="7" t="n">
        <v>12</v>
      </c>
      <c r="C9" s="4" t="inlineStr">
        <is>
          <t>Gemini 3 Pro Preview &lt;=200K prompt 输出单价</t>
        </is>
      </c>
    </row>
    <row r="10" ht="22" customHeight="1">
      <c r="A10" s="4" t="inlineStr">
        <is>
          <t>QWEN3MAX_INPUT_PER_1M</t>
        </is>
      </c>
      <c r="B10" s="7" t="n">
        <v>1.2</v>
      </c>
      <c r="C10" s="4" t="inlineStr">
        <is>
          <t>Qwen3-Max &lt;=32K 输入单价</t>
        </is>
      </c>
    </row>
    <row r="11" ht="22" customHeight="1">
      <c r="A11" s="4" t="inlineStr">
        <is>
          <t>QWEN3MAX_OUTPUT_PER_1M</t>
        </is>
      </c>
      <c r="B11" s="7" t="n">
        <v>6</v>
      </c>
      <c r="C11" s="4" t="inlineStr">
        <is>
          <t>Qwen3-Max &lt;=32K 输出单价</t>
        </is>
      </c>
    </row>
    <row r="12" ht="22" customHeight="1">
      <c r="A12" s="4" t="inlineStr">
        <is>
          <t>QWEN35PLUS_INPUT_PER_1M</t>
        </is>
      </c>
      <c r="B12" s="7" t="n">
        <v>0.115</v>
      </c>
      <c r="C12" s="4" t="inlineStr">
        <is>
          <t>Qwen3.5-Plus &lt;=128K 输入单价</t>
        </is>
      </c>
    </row>
    <row r="13" ht="22" customHeight="1">
      <c r="A13" s="4" t="inlineStr">
        <is>
          <t>QWEN35PLUS_OUTPUT_PER_1M</t>
        </is>
      </c>
      <c r="B13" s="7" t="n">
        <v>0.6879999999999999</v>
      </c>
      <c r="C13" s="4" t="inlineStr">
        <is>
          <t>Qwen3.5-Plus &lt;=128K 输出单价</t>
        </is>
      </c>
    </row>
    <row r="14" ht="22" customHeight="1">
      <c r="A14" s="4" t="inlineStr">
        <is>
          <t>SERPER_PER_QUERY</t>
        </is>
      </c>
      <c r="B14" s="7" t="n">
        <v>0.001</v>
      </c>
      <c r="C14" s="4" t="inlineStr">
        <is>
          <t>Serper Starter: $50 / 50k credits</t>
        </is>
      </c>
    </row>
    <row r="15" ht="22" customHeight="1">
      <c r="A15" s="4" t="inlineStr">
        <is>
          <t>SERPAPI_PER_QUERY</t>
        </is>
      </c>
      <c r="B15" s="7" t="n">
        <v>0.025</v>
      </c>
      <c r="C15" s="4" t="inlineStr">
        <is>
          <t>SerpApi Starter: $25 / 1k searches</t>
        </is>
      </c>
    </row>
    <row r="16" ht="22" customHeight="1">
      <c r="A16" s="4" t="inlineStr">
        <is>
          <t>GEMINI_IMAGE_1K2K_PER_IMAGE</t>
        </is>
      </c>
      <c r="B16" s="7" t="n">
        <v>0.134</v>
      </c>
      <c r="C16" s="4" t="inlineStr">
        <is>
          <t>Gemini 3 Pro Image Preview 1K/2K 单张图成本</t>
        </is>
      </c>
    </row>
    <row r="17" ht="22" customHeight="1">
      <c r="A17" s="4" t="inlineStr">
        <is>
          <t>GEMINI_IMAGE_4K_PER_IMAGE</t>
        </is>
      </c>
      <c r="B17" s="7" t="n">
        <v>0.24</v>
      </c>
      <c r="C17" s="4" t="inlineStr">
        <is>
          <t>Gemini 3 Pro Image Preview 4K 单张图成本</t>
        </is>
      </c>
    </row>
    <row r="18" ht="22" customHeight="1">
      <c r="A18" s="4" t="inlineStr">
        <is>
          <t>VEO31_FAST_PER_SECOND</t>
        </is>
      </c>
      <c r="B18" s="7" t="n">
        <v>0.15</v>
      </c>
      <c r="C18" s="4" t="inlineStr">
        <is>
          <t>Veo 3.1 Fast 每秒视频成本</t>
        </is>
      </c>
    </row>
    <row r="19" ht="22" customHeight="1">
      <c r="A19" s="4" t="inlineStr">
        <is>
          <t>VEO31_STANDARD_PER_SECOND</t>
        </is>
      </c>
      <c r="B19" s="7" t="n">
        <v>0.4</v>
      </c>
      <c r="C19" s="4" t="inlineStr">
        <is>
          <t>Veo 3.1 Standard 每秒视频成本</t>
        </is>
      </c>
    </row>
    <row r="20" ht="22" customHeight="1">
      <c r="A20" s="4" t="inlineStr">
        <is>
          <t>MONTHLY_SERVER_COST_USD</t>
        </is>
      </c>
      <c r="B20" s="7" t="n">
        <v>28</v>
      </c>
      <c r="C20" s="4" t="inlineStr">
        <is>
          <t>预算假设：腾讯云轻量服务器月成本，未知时先按 $28 估</t>
        </is>
      </c>
    </row>
    <row r="21" ht="22" customHeight="1">
      <c r="A21" s="4" t="inlineStr">
        <is>
          <t>MONTHLY_DB_STORAGE_COST_USD</t>
        </is>
      </c>
      <c r="B21" s="7" t="n">
        <v>15</v>
      </c>
      <c r="C21" s="4" t="inlineStr">
        <is>
          <t>预算假设：数据库 / 对象存储 / CDN 基础成本</t>
        </is>
      </c>
    </row>
    <row r="22" ht="22" customHeight="1">
      <c r="A22" s="4" t="inlineStr">
        <is>
          <t>MONTHLY_SERPAPI_COST_USD</t>
        </is>
      </c>
      <c r="B22" s="7" t="n">
        <v>25</v>
      </c>
      <c r="C22" s="4" t="inlineStr">
        <is>
          <t>SerpApi 固定月费</t>
        </is>
      </c>
    </row>
    <row r="23" ht="22" customHeight="1">
      <c r="A23" s="4" t="inlineStr">
        <is>
          <t>MONTHLY_OTHER_FIXED_COST_USD</t>
        </is>
      </c>
      <c r="B23" s="7" t="n">
        <v>10</v>
      </c>
      <c r="C23" s="4" t="inlineStr">
        <is>
          <t>其他固定技术成本预留</t>
        </is>
      </c>
    </row>
    <row r="24" ht="22" customHeight="1">
      <c r="A24" s="4" t="inlineStr">
        <is>
          <t>MONTHLY_TOOL_SUBSCRIPTION_USD</t>
        </is>
      </c>
      <c r="B24" s="7" t="n">
        <v>173.92</v>
      </c>
      <c r="C24" s="4" t="inlineStr">
        <is>
          <t>按当前已知订阅折算：ChatGPT Plus $20 + Google Ultra $125 + See Dance 月摊 $28.92</t>
        </is>
      </c>
    </row>
    <row r="25" ht="22" customHeight="1">
      <c r="A25" s="4" t="inlineStr">
        <is>
          <t>MONTHLY_RND_LABOR_USD</t>
        </is>
      </c>
      <c r="B25" s="7" t="n">
        <v>0</v>
      </c>
      <c r="C25" s="4" t="inlineStr">
        <is>
          <t>研发人工成本</t>
        </is>
      </c>
    </row>
    <row r="26" ht="22" customHeight="1">
      <c r="A26" s="4" t="inlineStr">
        <is>
          <t>MONTHLY_QA_OPS_LABOR_USD</t>
        </is>
      </c>
      <c r="B26" s="7" t="n">
        <v>0</v>
      </c>
      <c r="C26" s="4" t="inlineStr">
        <is>
          <t>测试 / 运维 / 设计人工成本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4" customWidth="1" min="4" max="4"/>
    <col width="30" customWidth="1" min="5" max="5"/>
    <col width="16" customWidth="1" min="6" max="6"/>
    <col width="16" customWidth="1" min="7" max="7"/>
    <col width="14" customWidth="1" min="8" max="8"/>
    <col width="34" customWidth="1" min="9" max="9"/>
    <col width="16" customWidth="1" min="10" max="10"/>
    <col width="16" customWidth="1" min="11" max="11"/>
  </cols>
  <sheetData>
    <row r="1" ht="22" customHeight="1">
      <c r="A1" s="3" t="inlineStr">
        <is>
          <t>模块编码</t>
        </is>
      </c>
      <c r="B1" s="3" t="inlineStr">
        <is>
          <t>生产深度</t>
        </is>
      </c>
      <c r="C1" s="3" t="inlineStr">
        <is>
          <t>成本分类</t>
        </is>
      </c>
      <c r="D1" s="3" t="inlineStr">
        <is>
          <t>模块名称</t>
        </is>
      </c>
      <c r="E1" s="3" t="inlineStr">
        <is>
          <t>推荐模型 / 服务</t>
        </is>
      </c>
      <c r="F1" s="3" t="inlineStr">
        <is>
          <t>单次成本低值(USD)</t>
        </is>
      </c>
      <c r="G1" s="3" t="inlineStr">
        <is>
          <t>单次成本高值(USD)</t>
        </is>
      </c>
      <c r="H1" s="3" t="inlineStr">
        <is>
          <t>平均版本次数</t>
        </is>
      </c>
      <c r="I1" s="3" t="inlineStr">
        <is>
          <t>默认说明</t>
        </is>
      </c>
      <c r="J1" s="3" t="inlineStr">
        <is>
          <t>预算低值(USD)</t>
        </is>
      </c>
      <c r="K1" s="3" t="inlineStr">
        <is>
          <t>预算高值(USD)</t>
        </is>
      </c>
    </row>
    <row r="2" ht="22" customHeight="1">
      <c r="A2" s="4" t="inlineStr">
        <is>
          <t>SEARCH</t>
        </is>
      </c>
      <c r="B2" s="4" t="inlineStr">
        <is>
          <t>TEXT_ONLY</t>
        </is>
      </c>
      <c r="C2" s="4" t="inlineStr">
        <is>
          <t>直接成本</t>
        </is>
      </c>
      <c r="D2" s="4" t="inlineStr">
        <is>
          <t>搜索 / 资料整理</t>
        </is>
      </c>
      <c r="E2" s="4" t="inlineStr">
        <is>
          <t>Serper / SerpApi</t>
        </is>
      </c>
      <c r="F2" s="8" t="n">
        <v>0.001</v>
      </c>
      <c r="G2" s="8" t="n">
        <v>0.025</v>
      </c>
      <c r="H2" s="9" t="n">
        <v>1.2</v>
      </c>
      <c r="I2" s="4" t="inlineStr">
        <is>
          <t>按单次查询计价；低值按 Serper， 高值按 SerpApi</t>
        </is>
      </c>
      <c r="J2" s="8">
        <f>F2*H2</f>
        <v/>
      </c>
      <c r="K2" s="8">
        <f>G2*H2</f>
        <v/>
      </c>
    </row>
    <row r="3" ht="22" customHeight="1">
      <c r="A3" s="4" t="inlineStr">
        <is>
          <t>TEXT_DRAFT</t>
        </is>
      </c>
      <c r="B3" s="4" t="inlineStr">
        <is>
          <t>TEXT_ONLY</t>
        </is>
      </c>
      <c r="C3" s="4" t="inlineStr">
        <is>
          <t>直接成本</t>
        </is>
      </c>
      <c r="D3" s="4" t="inlineStr">
        <is>
          <t>文本首稿</t>
        </is>
      </c>
      <c r="E3" s="4" t="inlineStr">
        <is>
          <t>Qwen3-Max / Gemini 3 Pro</t>
        </is>
      </c>
      <c r="F3" s="8" t="n">
        <v>0.054</v>
      </c>
      <c r="G3" s="8" t="n">
        <v>0.098</v>
      </c>
      <c r="H3" s="9" t="n">
        <v>1</v>
      </c>
      <c r="I3" s="4" t="inlineStr">
        <is>
          <t>约按 25K 输入 + 4K 输出估算</t>
        </is>
      </c>
      <c r="J3" s="8">
        <f>F3*H3</f>
        <v/>
      </c>
      <c r="K3" s="8">
        <f>G3*H3</f>
        <v/>
      </c>
    </row>
    <row r="4" ht="22" customHeight="1">
      <c r="A4" s="4" t="inlineStr">
        <is>
          <t>TEXT_REVISION</t>
        </is>
      </c>
      <c r="B4" s="4" t="inlineStr">
        <is>
          <t>TEXT_ONLY</t>
        </is>
      </c>
      <c r="C4" s="4" t="inlineStr">
        <is>
          <t>试错成本</t>
        </is>
      </c>
      <c r="D4" s="4" t="inlineStr">
        <is>
          <t>文本改稿</t>
        </is>
      </c>
      <c r="E4" s="4" t="inlineStr">
        <is>
          <t>Qwen3.5-Plus / GPT-5.4</t>
        </is>
      </c>
      <c r="F4" s="8" t="n">
        <v>0.004</v>
      </c>
      <c r="G4" s="8" t="n">
        <v>0.09</v>
      </c>
      <c r="H4" s="9" t="n">
        <v>2</v>
      </c>
      <c r="I4" s="4" t="inlineStr">
        <is>
          <t>低值按轻量平台改写，高值按旗舰重审重写</t>
        </is>
      </c>
      <c r="J4" s="8">
        <f>F4*H4</f>
        <v/>
      </c>
      <c r="K4" s="8">
        <f>G4*H4</f>
        <v/>
      </c>
    </row>
    <row r="5" ht="22" customHeight="1">
      <c r="A5" s="4" t="inlineStr">
        <is>
          <t>TEXT_REVIEW</t>
        </is>
      </c>
      <c r="B5" s="4" t="inlineStr">
        <is>
          <t>TEXT_ONLY</t>
        </is>
      </c>
      <c r="C5" s="4" t="inlineStr">
        <is>
          <t>试错成本</t>
        </is>
      </c>
      <c r="D5" s="4" t="inlineStr">
        <is>
          <t>质量 review</t>
        </is>
      </c>
      <c r="E5" s="4" t="inlineStr">
        <is>
          <t>GPT-5.4</t>
        </is>
      </c>
      <c r="F5" s="8" t="n">
        <v>0.06</v>
      </c>
      <c r="G5" s="8" t="n">
        <v>0.138</v>
      </c>
      <c r="H5" s="9" t="n">
        <v>1.5</v>
      </c>
      <c r="I5" s="4" t="inlineStr">
        <is>
          <t>约按 12K-25K 输入、2K-5K 输出估算</t>
        </is>
      </c>
      <c r="J5" s="8">
        <f>F5*H5</f>
        <v/>
      </c>
      <c r="K5" s="8">
        <f>G5*H5</f>
        <v/>
      </c>
    </row>
    <row r="6" ht="22" customHeight="1">
      <c r="A6" s="4" t="inlineStr">
        <is>
          <t>PLATFORM_ADAPT</t>
        </is>
      </c>
      <c r="B6" s="4" t="inlineStr">
        <is>
          <t>TEXT_ONLY</t>
        </is>
      </c>
      <c r="C6" s="4" t="inlineStr">
        <is>
          <t>上架成本</t>
        </is>
      </c>
      <c r="D6" s="4" t="inlineStr">
        <is>
          <t>平台适配</t>
        </is>
      </c>
      <c r="E6" s="4" t="inlineStr">
        <is>
          <t>Qwen3.5-Plus / Qwen3-Max</t>
        </is>
      </c>
      <c r="F6" s="8" t="n">
        <v>0.003</v>
      </c>
      <c r="G6" s="8" t="n">
        <v>0.026</v>
      </c>
      <c r="H6" s="9" t="n">
        <v>1.5</v>
      </c>
      <c r="I6" s="4" t="inlineStr">
        <is>
          <t>小红书 / 抖音等派生改写</t>
        </is>
      </c>
      <c r="J6" s="8">
        <f>F6*H6</f>
        <v/>
      </c>
      <c r="K6" s="8">
        <f>G6*H6</f>
        <v/>
      </c>
    </row>
    <row r="7" ht="22" customHeight="1">
      <c r="A7" s="4" t="inlineStr">
        <is>
          <t>SCRIPT_DRAFT</t>
        </is>
      </c>
      <c r="B7" s="4" t="inlineStr">
        <is>
          <t>TEXT_STORYBOARD</t>
        </is>
      </c>
      <c r="C7" s="4" t="inlineStr">
        <is>
          <t>直接成本</t>
        </is>
      </c>
      <c r="D7" s="4" t="inlineStr">
        <is>
          <t>脚本生成</t>
        </is>
      </c>
      <c r="E7" s="4" t="inlineStr">
        <is>
          <t>Gemini 3 Pro Preview</t>
        </is>
      </c>
      <c r="F7" s="8" t="n">
        <v>0.196</v>
      </c>
      <c r="G7" s="8" t="n">
        <v>0.48</v>
      </c>
      <c r="H7" s="9" t="n">
        <v>1.5</v>
      </c>
      <c r="I7" s="4" t="inlineStr">
        <is>
          <t>约按 50K-120K 输入、8K-20K 输出估算</t>
        </is>
      </c>
      <c r="J7" s="8">
        <f>F7*H7</f>
        <v/>
      </c>
      <c r="K7" s="8">
        <f>G7*H7</f>
        <v/>
      </c>
    </row>
    <row r="8" ht="22" customHeight="1">
      <c r="A8" s="4" t="inlineStr">
        <is>
          <t>SCRIPT_REVISION</t>
        </is>
      </c>
      <c r="B8" s="4" t="inlineStr">
        <is>
          <t>TEXT_STORYBOARD</t>
        </is>
      </c>
      <c r="C8" s="4" t="inlineStr">
        <is>
          <t>试错成本</t>
        </is>
      </c>
      <c r="D8" s="4" t="inlineStr">
        <is>
          <t>脚本改稿</t>
        </is>
      </c>
      <c r="E8" s="4" t="inlineStr">
        <is>
          <t>Gemini 3 Pro Preview</t>
        </is>
      </c>
      <c r="F8" s="8" t="n">
        <v>0.12</v>
      </c>
      <c r="G8" s="8" t="n">
        <v>0.284</v>
      </c>
      <c r="H8" s="9" t="n">
        <v>1.5</v>
      </c>
      <c r="I8" s="4" t="inlineStr">
        <is>
          <t>结构性重写、补镜头、节奏调整</t>
        </is>
      </c>
      <c r="J8" s="8">
        <f>F8*H8</f>
        <v/>
      </c>
      <c r="K8" s="8">
        <f>G8*H8</f>
        <v/>
      </c>
    </row>
    <row r="9" ht="22" customHeight="1">
      <c r="A9" s="4" t="inlineStr">
        <is>
          <t>STORYBOARD</t>
        </is>
      </c>
      <c r="B9" s="4" t="inlineStr">
        <is>
          <t>TEXT_STORYBOARD</t>
        </is>
      </c>
      <c r="C9" s="4" t="inlineStr">
        <is>
          <t>直接成本</t>
        </is>
      </c>
      <c r="D9" s="4" t="inlineStr">
        <is>
          <t>Storyboard 生成</t>
        </is>
      </c>
      <c r="E9" s="4" t="inlineStr">
        <is>
          <t>Gemini 3 Pro Preview</t>
        </is>
      </c>
      <c r="F9" s="8" t="n">
        <v>0.308</v>
      </c>
      <c r="G9" s="8" t="n">
        <v>0.66</v>
      </c>
      <c r="H9" s="9" t="n">
        <v>1.5</v>
      </c>
      <c r="I9" s="4" t="inlineStr">
        <is>
          <t>分镜与镜头描述生成</t>
        </is>
      </c>
      <c r="J9" s="8">
        <f>F9*H9</f>
        <v/>
      </c>
      <c r="K9" s="8">
        <f>G9*H9</f>
        <v/>
      </c>
    </row>
    <row r="10" ht="22" customHeight="1">
      <c r="A10" s="4" t="inlineStr">
        <is>
          <t>SCENE_CLASSIFY</t>
        </is>
      </c>
      <c r="B10" s="4" t="inlineStr">
        <is>
          <t>TEXT_STORYBOARD</t>
        </is>
      </c>
      <c r="C10" s="4" t="inlineStr">
        <is>
          <t>直接成本</t>
        </is>
      </c>
      <c r="D10" s="4" t="inlineStr">
        <is>
          <t>Scene classification</t>
        </is>
      </c>
      <c r="E10" s="4" t="inlineStr">
        <is>
          <t>GPT-5.4 Mini(按 GPT-5 mini 代理)</t>
        </is>
      </c>
      <c r="F10" s="8" t="n">
        <v>0.006</v>
      </c>
      <c r="G10" s="8" t="n">
        <v>0.016</v>
      </c>
      <c r="H10" s="9" t="n">
        <v>1.3</v>
      </c>
      <c r="I10" s="4" t="inlineStr">
        <is>
          <t>透明说明：官方定价页未单列 gpt-5.4-mini，预算暂按 GPT-5 mini 代理</t>
        </is>
      </c>
      <c r="J10" s="8">
        <f>F10*H10</f>
        <v/>
      </c>
      <c r="K10" s="8">
        <f>G10*H10</f>
        <v/>
      </c>
    </row>
    <row r="11" ht="22" customHeight="1">
      <c r="A11" s="4" t="inlineStr">
        <is>
          <t>ASSET_ANALYSIS</t>
        </is>
      </c>
      <c r="B11" s="4" t="inlineStr">
        <is>
          <t>TEXT_STORYBOARD</t>
        </is>
      </c>
      <c r="C11" s="4" t="inlineStr">
        <is>
          <t>直接成本</t>
        </is>
      </c>
      <c r="D11" s="4" t="inlineStr">
        <is>
          <t>Asset analysis</t>
        </is>
      </c>
      <c r="E11" s="4" t="inlineStr">
        <is>
          <t>GPT-5.4 Mini(按 GPT-5 mini 代理)</t>
        </is>
      </c>
      <c r="F11" s="8" t="n">
        <v>0.008999999999999999</v>
      </c>
      <c r="G11" s="8" t="n">
        <v>0.017</v>
      </c>
      <c r="H11" s="9" t="n">
        <v>1.3</v>
      </c>
      <c r="I11" s="4" t="inlineStr">
        <is>
          <t>素材缺口、资产依赖分析</t>
        </is>
      </c>
      <c r="J11" s="8">
        <f>F11*H11</f>
        <v/>
      </c>
      <c r="K11" s="8">
        <f>G11*H11</f>
        <v/>
      </c>
    </row>
    <row r="12" ht="22" customHeight="1">
      <c r="A12" s="4" t="inlineStr">
        <is>
          <t>REPORT_REVIEW</t>
        </is>
      </c>
      <c r="B12" s="4" t="inlineStr">
        <is>
          <t>TEXT_STORYBOARD</t>
        </is>
      </c>
      <c r="C12" s="4" t="inlineStr">
        <is>
          <t>试错成本</t>
        </is>
      </c>
      <c r="D12" s="4" t="inlineStr">
        <is>
          <t>报告 / review</t>
        </is>
      </c>
      <c r="E12" s="4" t="inlineStr">
        <is>
          <t>GPT-5.4</t>
        </is>
      </c>
      <c r="F12" s="8" t="n">
        <v>0.11</v>
      </c>
      <c r="G12" s="8" t="n">
        <v>0.22</v>
      </c>
      <c r="H12" s="9" t="n">
        <v>1.5</v>
      </c>
      <c r="I12" s="4" t="inlineStr">
        <is>
          <t>总结、诊断、复盘</t>
        </is>
      </c>
      <c r="J12" s="8">
        <f>F12*H12</f>
        <v/>
      </c>
      <c r="K12" s="8">
        <f>G12*H12</f>
        <v/>
      </c>
    </row>
    <row r="13" ht="22" customHeight="1">
      <c r="A13" s="4" t="inlineStr">
        <is>
          <t>IMAGE_GEN</t>
        </is>
      </c>
      <c r="B13" s="4" t="inlineStr">
        <is>
          <t>TEXT_IMAGE</t>
        </is>
      </c>
      <c r="C13" s="4" t="inlineStr">
        <is>
          <t>直接成本</t>
        </is>
      </c>
      <c r="D13" s="4" t="inlineStr">
        <is>
          <t>文生图尝试</t>
        </is>
      </c>
      <c r="E13" s="4" t="inlineStr">
        <is>
          <t>Gemini 3 Pro Image Preview</t>
        </is>
      </c>
      <c r="F13" s="8" t="n">
        <v>0.134</v>
      </c>
      <c r="G13" s="8" t="n">
        <v>0.24</v>
      </c>
      <c r="H13" s="9" t="n">
        <v>6</v>
      </c>
      <c r="I13" s="4" t="inlineStr">
        <is>
          <t>低值按 1K/2K， 高值按 4K 单张图</t>
        </is>
      </c>
      <c r="J13" s="8">
        <f>F13*H13</f>
        <v/>
      </c>
      <c r="K13" s="8">
        <f>G13*H13</f>
        <v/>
      </c>
    </row>
    <row r="14" ht="22" customHeight="1">
      <c r="A14" s="4" t="inlineStr">
        <is>
          <t>IMAGE_REWORK</t>
        </is>
      </c>
      <c r="B14" s="4" t="inlineStr">
        <is>
          <t>TEXT_IMAGE</t>
        </is>
      </c>
      <c r="C14" s="4" t="inlineStr">
        <is>
          <t>试错成本</t>
        </is>
      </c>
      <c r="D14" s="4" t="inlineStr">
        <is>
          <t>重绘 / 重出图</t>
        </is>
      </c>
      <c r="E14" s="4" t="inlineStr">
        <is>
          <t>Gemini 3 Pro Image Preview</t>
        </is>
      </c>
      <c r="F14" s="8" t="n">
        <v>0.134</v>
      </c>
      <c r="G14" s="8" t="n">
        <v>0.24</v>
      </c>
      <c r="H14" s="9" t="n">
        <v>3</v>
      </c>
      <c r="I14" s="4" t="inlineStr">
        <is>
          <t>二轮重绘、风格修正</t>
        </is>
      </c>
      <c r="J14" s="8">
        <f>F14*H14</f>
        <v/>
      </c>
      <c r="K14" s="8">
        <f>G14*H14</f>
        <v/>
      </c>
    </row>
    <row r="15" ht="22" customHeight="1">
      <c r="A15" s="4" t="inlineStr">
        <is>
          <t>IMAGE_REVIEW</t>
        </is>
      </c>
      <c r="B15" s="4" t="inlineStr">
        <is>
          <t>TEXT_IMAGE</t>
        </is>
      </c>
      <c r="C15" s="4" t="inlineStr">
        <is>
          <t>上架成本</t>
        </is>
      </c>
      <c r="D15" s="4" t="inlineStr">
        <is>
          <t>图片最终 review</t>
        </is>
      </c>
      <c r="E15" s="4" t="inlineStr">
        <is>
          <t>GPT-5.4 Mini / GPT-5.4</t>
        </is>
      </c>
      <c r="F15" s="8" t="n">
        <v>0.005</v>
      </c>
      <c r="G15" s="8" t="n">
        <v>0.04</v>
      </c>
      <c r="H15" s="9" t="n">
        <v>1.2</v>
      </c>
      <c r="I15" s="4" t="inlineStr">
        <is>
          <t>选图、上架前检查</t>
        </is>
      </c>
      <c r="J15" s="8">
        <f>F15*H15</f>
        <v/>
      </c>
      <c r="K15" s="8">
        <f>G15*H15</f>
        <v/>
      </c>
    </row>
    <row r="16" ht="22" customHeight="1">
      <c r="A16" s="4" t="inlineStr">
        <is>
          <t>VIDEO_GEN</t>
        </is>
      </c>
      <c r="B16" s="4" t="inlineStr">
        <is>
          <t>TEXT_IMAGE_VIDEO</t>
        </is>
      </c>
      <c r="C16" s="4" t="inlineStr">
        <is>
          <t>直接成本</t>
        </is>
      </c>
      <c r="D16" s="4" t="inlineStr">
        <is>
          <t>视频生成尝试</t>
        </is>
      </c>
      <c r="E16" s="4" t="inlineStr">
        <is>
          <t>Veo 3.1 Fast / Standard</t>
        </is>
      </c>
      <c r="F16" s="8" t="n">
        <v>1.2</v>
      </c>
      <c r="G16" s="8" t="n">
        <v>3.2</v>
      </c>
      <c r="H16" s="9" t="n">
        <v>3</v>
      </c>
      <c r="I16" s="4" t="inlineStr">
        <is>
          <t>按 8 秒视频估算：Fast $0.15/s，Standard $0.40/s</t>
        </is>
      </c>
      <c r="J16" s="8">
        <f>F16*H16</f>
        <v/>
      </c>
      <c r="K16" s="8">
        <f>G16*H16</f>
        <v/>
      </c>
    </row>
    <row r="17" ht="22" customHeight="1">
      <c r="A17" s="4" t="inlineStr">
        <is>
          <t>VIDEO_REWORK</t>
        </is>
      </c>
      <c r="B17" s="4" t="inlineStr">
        <is>
          <t>TEXT_IMAGE_VIDEO</t>
        </is>
      </c>
      <c r="C17" s="4" t="inlineStr">
        <is>
          <t>试错成本</t>
        </is>
      </c>
      <c r="D17" s="4" t="inlineStr">
        <is>
          <t>视频返工</t>
        </is>
      </c>
      <c r="E17" s="4" t="inlineStr">
        <is>
          <t>Veo 3.1 Fast / Standard</t>
        </is>
      </c>
      <c r="F17" s="8" t="n">
        <v>0.6</v>
      </c>
      <c r="G17" s="8" t="n">
        <v>2.4</v>
      </c>
      <c r="H17" s="9" t="n">
        <v>2</v>
      </c>
      <c r="I17" s="4" t="inlineStr">
        <is>
          <t>按 4 秒 Fast 或 6 秒 Standard 返工估算</t>
        </is>
      </c>
      <c r="J17" s="8">
        <f>F17*H17</f>
        <v/>
      </c>
      <c r="K17" s="8">
        <f>G17*H17</f>
        <v/>
      </c>
    </row>
    <row r="18" ht="22" customHeight="1">
      <c r="A18" s="4" t="inlineStr">
        <is>
          <t>FINAL_PACKAGE</t>
        </is>
      </c>
      <c r="B18" s="4" t="inlineStr">
        <is>
          <t>TEXT_IMAGE_VIDEO</t>
        </is>
      </c>
      <c r="C18" s="4" t="inlineStr">
        <is>
          <t>上架成本</t>
        </is>
      </c>
      <c r="D18" s="4" t="inlineStr">
        <is>
          <t>最终 packaging</t>
        </is>
      </c>
      <c r="E18" s="4" t="inlineStr">
        <is>
          <t>Qwen3.5-Plus / Qwen3-Max</t>
        </is>
      </c>
      <c r="F18" s="8" t="n">
        <v>0.002</v>
      </c>
      <c r="G18" s="8" t="n">
        <v>0.021</v>
      </c>
      <c r="H18" s="9" t="n">
        <v>1</v>
      </c>
      <c r="I18" s="4" t="inlineStr">
        <is>
          <t>标题、描述、封面包装</t>
        </is>
      </c>
      <c r="J18" s="8">
        <f>F18*H18</f>
        <v/>
      </c>
      <c r="K18" s="8">
        <f>G18*H18</f>
        <v/>
      </c>
    </row>
    <row r="19" ht="22" customHeight="1">
      <c r="A19" s="4" t="inlineStr">
        <is>
          <t>FINAL_QA</t>
        </is>
      </c>
      <c r="B19" s="4" t="inlineStr">
        <is>
          <t>TEXT_IMAGE_VIDEO</t>
        </is>
      </c>
      <c r="C19" s="4" t="inlineStr">
        <is>
          <t>上架成本</t>
        </is>
      </c>
      <c r="D19" s="4" t="inlineStr">
        <is>
          <t>上架检查</t>
        </is>
      </c>
      <c r="E19" s="4" t="inlineStr">
        <is>
          <t>GPT-5.4 Mini / GPT-5.4</t>
        </is>
      </c>
      <c r="F19" s="8" t="n">
        <v>0.006</v>
      </c>
      <c r="G19" s="8" t="n">
        <v>0.053</v>
      </c>
      <c r="H19" s="9" t="n">
        <v>1</v>
      </c>
      <c r="I19" s="4" t="inlineStr">
        <is>
          <t>最终质检、平台检查</t>
        </is>
      </c>
      <c r="J19" s="8">
        <f>F19*H19</f>
        <v/>
      </c>
      <c r="K19" s="8">
        <f>G19*H19</f>
        <v/>
      </c>
    </row>
  </sheetData>
  <autoFilter ref="A1:K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0" t="inlineStr">
        <is>
          <t>Tahoe 单项目成本测算</t>
        </is>
      </c>
    </row>
    <row r="2" ht="22" customHeight="1"/>
    <row r="3" ht="22" customHeight="1">
      <c r="A3" s="3" t="inlineStr">
        <is>
          <t>项目类型</t>
        </is>
      </c>
      <c r="B3" s="3" t="inlineStr">
        <is>
          <t>模块编码</t>
        </is>
      </c>
      <c r="C3" s="3" t="inlineStr">
        <is>
          <t>模块名称</t>
        </is>
      </c>
      <c r="D3" s="3" t="inlineStr">
        <is>
          <t>成本分类</t>
        </is>
      </c>
      <c r="E3" s="3" t="inlineStr">
        <is>
          <t>预算低值(USD)</t>
        </is>
      </c>
      <c r="F3" s="3" t="inlineStr">
        <is>
          <t>预算高值(USD)</t>
        </is>
      </c>
    </row>
    <row r="4" ht="22" customHeight="1">
      <c r="A4" s="4" t="inlineStr">
        <is>
          <t>TEXT_ONLY</t>
        </is>
      </c>
      <c r="B4" s="4" t="inlineStr">
        <is>
          <t>SEARCH</t>
        </is>
      </c>
      <c r="C4" s="4">
        <f>IFERROR(VLOOKUP(B4,Unit_Costs!$A:$K,4,FALSE),"")</f>
        <v/>
      </c>
      <c r="D4" s="4">
        <f>IFERROR(VLOOKUP(B4,Unit_Costs!$A:$K,3,FALSE),"")</f>
        <v/>
      </c>
      <c r="E4" s="8">
        <f>IFERROR(VLOOKUP(B4,Unit_Costs!$A:$K,10,FALSE),0)</f>
        <v/>
      </c>
      <c r="F4" s="8">
        <f>IFERROR(VLOOKUP(B4,Unit_Costs!$A:$K,11,FALSE),0)</f>
        <v/>
      </c>
    </row>
    <row r="5" ht="22" customHeight="1">
      <c r="A5" s="4" t="inlineStr">
        <is>
          <t>TEXT_ONLY</t>
        </is>
      </c>
      <c r="B5" s="4" t="inlineStr">
        <is>
          <t>TEXT_DRAFT</t>
        </is>
      </c>
      <c r="C5" s="4">
        <f>IFERROR(VLOOKUP(B5,Unit_Costs!$A:$K,4,FALSE),"")</f>
        <v/>
      </c>
      <c r="D5" s="4">
        <f>IFERROR(VLOOKUP(B5,Unit_Costs!$A:$K,3,FALSE),"")</f>
        <v/>
      </c>
      <c r="E5" s="8">
        <f>IFERROR(VLOOKUP(B5,Unit_Costs!$A:$K,10,FALSE),0)</f>
        <v/>
      </c>
      <c r="F5" s="8">
        <f>IFERROR(VLOOKUP(B5,Unit_Costs!$A:$K,11,FALSE),0)</f>
        <v/>
      </c>
    </row>
    <row r="6" ht="22" customHeight="1">
      <c r="A6" s="4" t="inlineStr">
        <is>
          <t>TEXT_ONLY</t>
        </is>
      </c>
      <c r="B6" s="4" t="inlineStr">
        <is>
          <t>TEXT_REVISION</t>
        </is>
      </c>
      <c r="C6" s="4">
        <f>IFERROR(VLOOKUP(B6,Unit_Costs!$A:$K,4,FALSE),"")</f>
        <v/>
      </c>
      <c r="D6" s="4">
        <f>IFERROR(VLOOKUP(B6,Unit_Costs!$A:$K,3,FALSE),"")</f>
        <v/>
      </c>
      <c r="E6" s="8">
        <f>IFERROR(VLOOKUP(B6,Unit_Costs!$A:$K,10,FALSE),0)</f>
        <v/>
      </c>
      <c r="F6" s="8">
        <f>IFERROR(VLOOKUP(B6,Unit_Costs!$A:$K,11,FALSE),0)</f>
        <v/>
      </c>
    </row>
    <row r="7" ht="22" customHeight="1">
      <c r="A7" s="4" t="inlineStr">
        <is>
          <t>TEXT_ONLY</t>
        </is>
      </c>
      <c r="B7" s="4" t="inlineStr">
        <is>
          <t>TEXT_REVIEW</t>
        </is>
      </c>
      <c r="C7" s="4">
        <f>IFERROR(VLOOKUP(B7,Unit_Costs!$A:$K,4,FALSE),"")</f>
        <v/>
      </c>
      <c r="D7" s="4">
        <f>IFERROR(VLOOKUP(B7,Unit_Costs!$A:$K,3,FALSE),"")</f>
        <v/>
      </c>
      <c r="E7" s="8">
        <f>IFERROR(VLOOKUP(B7,Unit_Costs!$A:$K,10,FALSE),0)</f>
        <v/>
      </c>
      <c r="F7" s="8">
        <f>IFERROR(VLOOKUP(B7,Unit_Costs!$A:$K,11,FALSE),0)</f>
        <v/>
      </c>
    </row>
    <row r="8" ht="22" customHeight="1">
      <c r="A8" s="4" t="inlineStr">
        <is>
          <t>TEXT_ONLY</t>
        </is>
      </c>
      <c r="B8" s="4" t="inlineStr">
        <is>
          <t>PLATFORM_ADAPT</t>
        </is>
      </c>
      <c r="C8" s="4">
        <f>IFERROR(VLOOKUP(B8,Unit_Costs!$A:$K,4,FALSE),"")</f>
        <v/>
      </c>
      <c r="D8" s="4">
        <f>IFERROR(VLOOKUP(B8,Unit_Costs!$A:$K,3,FALSE),"")</f>
        <v/>
      </c>
      <c r="E8" s="8">
        <f>IFERROR(VLOOKUP(B8,Unit_Costs!$A:$K,10,FALSE),0)</f>
        <v/>
      </c>
      <c r="F8" s="8">
        <f>IFERROR(VLOOKUP(B8,Unit_Costs!$A:$K,11,FALSE),0)</f>
        <v/>
      </c>
    </row>
    <row r="9" ht="22" customHeight="1">
      <c r="A9" s="4" t="inlineStr">
        <is>
          <t>TEXT_STORYBOARD</t>
        </is>
      </c>
      <c r="B9" s="4" t="inlineStr">
        <is>
          <t>SEARCH</t>
        </is>
      </c>
      <c r="C9" s="4">
        <f>IFERROR(VLOOKUP(B9,Unit_Costs!$A:$K,4,FALSE),"")</f>
        <v/>
      </c>
      <c r="D9" s="4">
        <f>IFERROR(VLOOKUP(B9,Unit_Costs!$A:$K,3,FALSE),"")</f>
        <v/>
      </c>
      <c r="E9" s="8">
        <f>IFERROR(VLOOKUP(B9,Unit_Costs!$A:$K,10,FALSE),0)</f>
        <v/>
      </c>
      <c r="F9" s="8">
        <f>IFERROR(VLOOKUP(B9,Unit_Costs!$A:$K,11,FALSE),0)</f>
        <v/>
      </c>
    </row>
    <row r="10" ht="22" customHeight="1">
      <c r="A10" s="4" t="inlineStr">
        <is>
          <t>TEXT_STORYBOARD</t>
        </is>
      </c>
      <c r="B10" s="4" t="inlineStr">
        <is>
          <t>SCRIPT_DRAFT</t>
        </is>
      </c>
      <c r="C10" s="4">
        <f>IFERROR(VLOOKUP(B10,Unit_Costs!$A:$K,4,FALSE),"")</f>
        <v/>
      </c>
      <c r="D10" s="4">
        <f>IFERROR(VLOOKUP(B10,Unit_Costs!$A:$K,3,FALSE),"")</f>
        <v/>
      </c>
      <c r="E10" s="8">
        <f>IFERROR(VLOOKUP(B10,Unit_Costs!$A:$K,10,FALSE),0)</f>
        <v/>
      </c>
      <c r="F10" s="8">
        <f>IFERROR(VLOOKUP(B10,Unit_Costs!$A:$K,11,FALSE),0)</f>
        <v/>
      </c>
    </row>
    <row r="11" ht="22" customHeight="1">
      <c r="A11" s="4" t="inlineStr">
        <is>
          <t>TEXT_STORYBOARD</t>
        </is>
      </c>
      <c r="B11" s="4" t="inlineStr">
        <is>
          <t>SCRIPT_REVISION</t>
        </is>
      </c>
      <c r="C11" s="4">
        <f>IFERROR(VLOOKUP(B11,Unit_Costs!$A:$K,4,FALSE),"")</f>
        <v/>
      </c>
      <c r="D11" s="4">
        <f>IFERROR(VLOOKUP(B11,Unit_Costs!$A:$K,3,FALSE),"")</f>
        <v/>
      </c>
      <c r="E11" s="8">
        <f>IFERROR(VLOOKUP(B11,Unit_Costs!$A:$K,10,FALSE),0)</f>
        <v/>
      </c>
      <c r="F11" s="8">
        <f>IFERROR(VLOOKUP(B11,Unit_Costs!$A:$K,11,FALSE),0)</f>
        <v/>
      </c>
    </row>
    <row r="12" ht="22" customHeight="1">
      <c r="A12" s="4" t="inlineStr">
        <is>
          <t>TEXT_STORYBOARD</t>
        </is>
      </c>
      <c r="B12" s="4" t="inlineStr">
        <is>
          <t>STORYBOARD</t>
        </is>
      </c>
      <c r="C12" s="4">
        <f>IFERROR(VLOOKUP(B12,Unit_Costs!$A:$K,4,FALSE),"")</f>
        <v/>
      </c>
      <c r="D12" s="4">
        <f>IFERROR(VLOOKUP(B12,Unit_Costs!$A:$K,3,FALSE),"")</f>
        <v/>
      </c>
      <c r="E12" s="8">
        <f>IFERROR(VLOOKUP(B12,Unit_Costs!$A:$K,10,FALSE),0)</f>
        <v/>
      </c>
      <c r="F12" s="8">
        <f>IFERROR(VLOOKUP(B12,Unit_Costs!$A:$K,11,FALSE),0)</f>
        <v/>
      </c>
    </row>
    <row r="13" ht="22" customHeight="1">
      <c r="A13" s="4" t="inlineStr">
        <is>
          <t>TEXT_STORYBOARD</t>
        </is>
      </c>
      <c r="B13" s="4" t="inlineStr">
        <is>
          <t>SCENE_CLASSIFY</t>
        </is>
      </c>
      <c r="C13" s="4">
        <f>IFERROR(VLOOKUP(B13,Unit_Costs!$A:$K,4,FALSE),"")</f>
        <v/>
      </c>
      <c r="D13" s="4">
        <f>IFERROR(VLOOKUP(B13,Unit_Costs!$A:$K,3,FALSE),"")</f>
        <v/>
      </c>
      <c r="E13" s="8">
        <f>IFERROR(VLOOKUP(B13,Unit_Costs!$A:$K,10,FALSE),0)</f>
        <v/>
      </c>
      <c r="F13" s="8">
        <f>IFERROR(VLOOKUP(B13,Unit_Costs!$A:$K,11,FALSE),0)</f>
        <v/>
      </c>
    </row>
    <row r="14" ht="22" customHeight="1">
      <c r="A14" s="4" t="inlineStr">
        <is>
          <t>TEXT_STORYBOARD</t>
        </is>
      </c>
      <c r="B14" s="4" t="inlineStr">
        <is>
          <t>ASSET_ANALYSIS</t>
        </is>
      </c>
      <c r="C14" s="4">
        <f>IFERROR(VLOOKUP(B14,Unit_Costs!$A:$K,4,FALSE),"")</f>
        <v/>
      </c>
      <c r="D14" s="4">
        <f>IFERROR(VLOOKUP(B14,Unit_Costs!$A:$K,3,FALSE),"")</f>
        <v/>
      </c>
      <c r="E14" s="8">
        <f>IFERROR(VLOOKUP(B14,Unit_Costs!$A:$K,10,FALSE),0)</f>
        <v/>
      </c>
      <c r="F14" s="8">
        <f>IFERROR(VLOOKUP(B14,Unit_Costs!$A:$K,11,FALSE),0)</f>
        <v/>
      </c>
    </row>
    <row r="15" ht="22" customHeight="1">
      <c r="A15" s="4" t="inlineStr">
        <is>
          <t>TEXT_STORYBOARD</t>
        </is>
      </c>
      <c r="B15" s="4" t="inlineStr">
        <is>
          <t>REPORT_REVIEW</t>
        </is>
      </c>
      <c r="C15" s="4">
        <f>IFERROR(VLOOKUP(B15,Unit_Costs!$A:$K,4,FALSE),"")</f>
        <v/>
      </c>
      <c r="D15" s="4">
        <f>IFERROR(VLOOKUP(B15,Unit_Costs!$A:$K,3,FALSE),"")</f>
        <v/>
      </c>
      <c r="E15" s="8">
        <f>IFERROR(VLOOKUP(B15,Unit_Costs!$A:$K,10,FALSE),0)</f>
        <v/>
      </c>
      <c r="F15" s="8">
        <f>IFERROR(VLOOKUP(B15,Unit_Costs!$A:$K,11,FALSE),0)</f>
        <v/>
      </c>
    </row>
    <row r="16" ht="22" customHeight="1">
      <c r="A16" s="4" t="inlineStr">
        <is>
          <t>TEXT_IMAGE</t>
        </is>
      </c>
      <c r="B16" s="4" t="inlineStr">
        <is>
          <t>SEARCH</t>
        </is>
      </c>
      <c r="C16" s="4">
        <f>IFERROR(VLOOKUP(B16,Unit_Costs!$A:$K,4,FALSE),"")</f>
        <v/>
      </c>
      <c r="D16" s="4">
        <f>IFERROR(VLOOKUP(B16,Unit_Costs!$A:$K,3,FALSE),"")</f>
        <v/>
      </c>
      <c r="E16" s="8">
        <f>IFERROR(VLOOKUP(B16,Unit_Costs!$A:$K,10,FALSE),0)</f>
        <v/>
      </c>
      <c r="F16" s="8">
        <f>IFERROR(VLOOKUP(B16,Unit_Costs!$A:$K,11,FALSE),0)</f>
        <v/>
      </c>
    </row>
    <row r="17" ht="22" customHeight="1">
      <c r="A17" s="4" t="inlineStr">
        <is>
          <t>TEXT_IMAGE</t>
        </is>
      </c>
      <c r="B17" s="4" t="inlineStr">
        <is>
          <t>SCRIPT_DRAFT</t>
        </is>
      </c>
      <c r="C17" s="4">
        <f>IFERROR(VLOOKUP(B17,Unit_Costs!$A:$K,4,FALSE),"")</f>
        <v/>
      </c>
      <c r="D17" s="4">
        <f>IFERROR(VLOOKUP(B17,Unit_Costs!$A:$K,3,FALSE),"")</f>
        <v/>
      </c>
      <c r="E17" s="8">
        <f>IFERROR(VLOOKUP(B17,Unit_Costs!$A:$K,10,FALSE),0)</f>
        <v/>
      </c>
      <c r="F17" s="8">
        <f>IFERROR(VLOOKUP(B17,Unit_Costs!$A:$K,11,FALSE),0)</f>
        <v/>
      </c>
    </row>
    <row r="18" ht="22" customHeight="1">
      <c r="A18" s="4" t="inlineStr">
        <is>
          <t>TEXT_IMAGE</t>
        </is>
      </c>
      <c r="B18" s="4" t="inlineStr">
        <is>
          <t>SCRIPT_REVISION</t>
        </is>
      </c>
      <c r="C18" s="4">
        <f>IFERROR(VLOOKUP(B18,Unit_Costs!$A:$K,4,FALSE),"")</f>
        <v/>
      </c>
      <c r="D18" s="4">
        <f>IFERROR(VLOOKUP(B18,Unit_Costs!$A:$K,3,FALSE),"")</f>
        <v/>
      </c>
      <c r="E18" s="8">
        <f>IFERROR(VLOOKUP(B18,Unit_Costs!$A:$K,10,FALSE),0)</f>
        <v/>
      </c>
      <c r="F18" s="8">
        <f>IFERROR(VLOOKUP(B18,Unit_Costs!$A:$K,11,FALSE),0)</f>
        <v/>
      </c>
    </row>
    <row r="19" ht="22" customHeight="1">
      <c r="A19" s="4" t="inlineStr">
        <is>
          <t>TEXT_IMAGE</t>
        </is>
      </c>
      <c r="B19" s="4" t="inlineStr">
        <is>
          <t>STORYBOARD</t>
        </is>
      </c>
      <c r="C19" s="4">
        <f>IFERROR(VLOOKUP(B19,Unit_Costs!$A:$K,4,FALSE),"")</f>
        <v/>
      </c>
      <c r="D19" s="4">
        <f>IFERROR(VLOOKUP(B19,Unit_Costs!$A:$K,3,FALSE),"")</f>
        <v/>
      </c>
      <c r="E19" s="8">
        <f>IFERROR(VLOOKUP(B19,Unit_Costs!$A:$K,10,FALSE),0)</f>
        <v/>
      </c>
      <c r="F19" s="8">
        <f>IFERROR(VLOOKUP(B19,Unit_Costs!$A:$K,11,FALSE),0)</f>
        <v/>
      </c>
    </row>
    <row r="20" ht="22" customHeight="1">
      <c r="A20" s="4" t="inlineStr">
        <is>
          <t>TEXT_IMAGE</t>
        </is>
      </c>
      <c r="B20" s="4" t="inlineStr">
        <is>
          <t>SCENE_CLASSIFY</t>
        </is>
      </c>
      <c r="C20" s="4">
        <f>IFERROR(VLOOKUP(B20,Unit_Costs!$A:$K,4,FALSE),"")</f>
        <v/>
      </c>
      <c r="D20" s="4">
        <f>IFERROR(VLOOKUP(B20,Unit_Costs!$A:$K,3,FALSE),"")</f>
        <v/>
      </c>
      <c r="E20" s="8">
        <f>IFERROR(VLOOKUP(B20,Unit_Costs!$A:$K,10,FALSE),0)</f>
        <v/>
      </c>
      <c r="F20" s="8">
        <f>IFERROR(VLOOKUP(B20,Unit_Costs!$A:$K,11,FALSE),0)</f>
        <v/>
      </c>
    </row>
    <row r="21" ht="22" customHeight="1">
      <c r="A21" s="4" t="inlineStr">
        <is>
          <t>TEXT_IMAGE</t>
        </is>
      </c>
      <c r="B21" s="4" t="inlineStr">
        <is>
          <t>ASSET_ANALYSIS</t>
        </is>
      </c>
      <c r="C21" s="4">
        <f>IFERROR(VLOOKUP(B21,Unit_Costs!$A:$K,4,FALSE),"")</f>
        <v/>
      </c>
      <c r="D21" s="4">
        <f>IFERROR(VLOOKUP(B21,Unit_Costs!$A:$K,3,FALSE),"")</f>
        <v/>
      </c>
      <c r="E21" s="8">
        <f>IFERROR(VLOOKUP(B21,Unit_Costs!$A:$K,10,FALSE),0)</f>
        <v/>
      </c>
      <c r="F21" s="8">
        <f>IFERROR(VLOOKUP(B21,Unit_Costs!$A:$K,11,FALSE),0)</f>
        <v/>
      </c>
    </row>
    <row r="22" ht="22" customHeight="1">
      <c r="A22" s="4" t="inlineStr">
        <is>
          <t>TEXT_IMAGE</t>
        </is>
      </c>
      <c r="B22" s="4" t="inlineStr">
        <is>
          <t>REPORT_REVIEW</t>
        </is>
      </c>
      <c r="C22" s="4">
        <f>IFERROR(VLOOKUP(B22,Unit_Costs!$A:$K,4,FALSE),"")</f>
        <v/>
      </c>
      <c r="D22" s="4">
        <f>IFERROR(VLOOKUP(B22,Unit_Costs!$A:$K,3,FALSE),"")</f>
        <v/>
      </c>
      <c r="E22" s="8">
        <f>IFERROR(VLOOKUP(B22,Unit_Costs!$A:$K,10,FALSE),0)</f>
        <v/>
      </c>
      <c r="F22" s="8">
        <f>IFERROR(VLOOKUP(B22,Unit_Costs!$A:$K,11,FALSE),0)</f>
        <v/>
      </c>
    </row>
    <row r="23" ht="22" customHeight="1">
      <c r="A23" s="4" t="inlineStr">
        <is>
          <t>TEXT_IMAGE</t>
        </is>
      </c>
      <c r="B23" s="4" t="inlineStr">
        <is>
          <t>IMAGE_GEN</t>
        </is>
      </c>
      <c r="C23" s="4">
        <f>IFERROR(VLOOKUP(B23,Unit_Costs!$A:$K,4,FALSE),"")</f>
        <v/>
      </c>
      <c r="D23" s="4">
        <f>IFERROR(VLOOKUP(B23,Unit_Costs!$A:$K,3,FALSE),"")</f>
        <v/>
      </c>
      <c r="E23" s="8">
        <f>IFERROR(VLOOKUP(B23,Unit_Costs!$A:$K,10,FALSE),0)</f>
        <v/>
      </c>
      <c r="F23" s="8">
        <f>IFERROR(VLOOKUP(B23,Unit_Costs!$A:$K,11,FALSE),0)</f>
        <v/>
      </c>
    </row>
    <row r="24" ht="22" customHeight="1">
      <c r="A24" s="4" t="inlineStr">
        <is>
          <t>TEXT_IMAGE</t>
        </is>
      </c>
      <c r="B24" s="4" t="inlineStr">
        <is>
          <t>IMAGE_REWORK</t>
        </is>
      </c>
      <c r="C24" s="4">
        <f>IFERROR(VLOOKUP(B24,Unit_Costs!$A:$K,4,FALSE),"")</f>
        <v/>
      </c>
      <c r="D24" s="4">
        <f>IFERROR(VLOOKUP(B24,Unit_Costs!$A:$K,3,FALSE),"")</f>
        <v/>
      </c>
      <c r="E24" s="8">
        <f>IFERROR(VLOOKUP(B24,Unit_Costs!$A:$K,10,FALSE),0)</f>
        <v/>
      </c>
      <c r="F24" s="8">
        <f>IFERROR(VLOOKUP(B24,Unit_Costs!$A:$K,11,FALSE),0)</f>
        <v/>
      </c>
    </row>
    <row r="25" ht="22" customHeight="1">
      <c r="A25" s="4" t="inlineStr">
        <is>
          <t>TEXT_IMAGE</t>
        </is>
      </c>
      <c r="B25" s="4" t="inlineStr">
        <is>
          <t>IMAGE_REVIEW</t>
        </is>
      </c>
      <c r="C25" s="4">
        <f>IFERROR(VLOOKUP(B25,Unit_Costs!$A:$K,4,FALSE),"")</f>
        <v/>
      </c>
      <c r="D25" s="4">
        <f>IFERROR(VLOOKUP(B25,Unit_Costs!$A:$K,3,FALSE),"")</f>
        <v/>
      </c>
      <c r="E25" s="8">
        <f>IFERROR(VLOOKUP(B25,Unit_Costs!$A:$K,10,FALSE),0)</f>
        <v/>
      </c>
      <c r="F25" s="8">
        <f>IFERROR(VLOOKUP(B25,Unit_Costs!$A:$K,11,FALSE),0)</f>
        <v/>
      </c>
    </row>
    <row r="26" ht="22" customHeight="1">
      <c r="A26" s="4" t="inlineStr">
        <is>
          <t>TEXT_IMAGE_VIDEO</t>
        </is>
      </c>
      <c r="B26" s="4" t="inlineStr">
        <is>
          <t>SEARCH</t>
        </is>
      </c>
      <c r="C26" s="4">
        <f>IFERROR(VLOOKUP(B26,Unit_Costs!$A:$K,4,FALSE),"")</f>
        <v/>
      </c>
      <c r="D26" s="4">
        <f>IFERROR(VLOOKUP(B26,Unit_Costs!$A:$K,3,FALSE),"")</f>
        <v/>
      </c>
      <c r="E26" s="8">
        <f>IFERROR(VLOOKUP(B26,Unit_Costs!$A:$K,10,FALSE),0)</f>
        <v/>
      </c>
      <c r="F26" s="8">
        <f>IFERROR(VLOOKUP(B26,Unit_Costs!$A:$K,11,FALSE),0)</f>
        <v/>
      </c>
    </row>
    <row r="27" ht="22" customHeight="1">
      <c r="A27" s="4" t="inlineStr">
        <is>
          <t>TEXT_IMAGE_VIDEO</t>
        </is>
      </c>
      <c r="B27" s="4" t="inlineStr">
        <is>
          <t>SCRIPT_DRAFT</t>
        </is>
      </c>
      <c r="C27" s="4">
        <f>IFERROR(VLOOKUP(B27,Unit_Costs!$A:$K,4,FALSE),"")</f>
        <v/>
      </c>
      <c r="D27" s="4">
        <f>IFERROR(VLOOKUP(B27,Unit_Costs!$A:$K,3,FALSE),"")</f>
        <v/>
      </c>
      <c r="E27" s="8">
        <f>IFERROR(VLOOKUP(B27,Unit_Costs!$A:$K,10,FALSE),0)</f>
        <v/>
      </c>
      <c r="F27" s="8">
        <f>IFERROR(VLOOKUP(B27,Unit_Costs!$A:$K,11,FALSE),0)</f>
        <v/>
      </c>
    </row>
    <row r="28" ht="22" customHeight="1">
      <c r="A28" s="4" t="inlineStr">
        <is>
          <t>TEXT_IMAGE_VIDEO</t>
        </is>
      </c>
      <c r="B28" s="4" t="inlineStr">
        <is>
          <t>SCRIPT_REVISION</t>
        </is>
      </c>
      <c r="C28" s="4">
        <f>IFERROR(VLOOKUP(B28,Unit_Costs!$A:$K,4,FALSE),"")</f>
        <v/>
      </c>
      <c r="D28" s="4">
        <f>IFERROR(VLOOKUP(B28,Unit_Costs!$A:$K,3,FALSE),"")</f>
        <v/>
      </c>
      <c r="E28" s="8">
        <f>IFERROR(VLOOKUP(B28,Unit_Costs!$A:$K,10,FALSE),0)</f>
        <v/>
      </c>
      <c r="F28" s="8">
        <f>IFERROR(VLOOKUP(B28,Unit_Costs!$A:$K,11,FALSE),0)</f>
        <v/>
      </c>
    </row>
    <row r="29" ht="22" customHeight="1">
      <c r="A29" s="4" t="inlineStr">
        <is>
          <t>TEXT_IMAGE_VIDEO</t>
        </is>
      </c>
      <c r="B29" s="4" t="inlineStr">
        <is>
          <t>STORYBOARD</t>
        </is>
      </c>
      <c r="C29" s="4">
        <f>IFERROR(VLOOKUP(B29,Unit_Costs!$A:$K,4,FALSE),"")</f>
        <v/>
      </c>
      <c r="D29" s="4">
        <f>IFERROR(VLOOKUP(B29,Unit_Costs!$A:$K,3,FALSE),"")</f>
        <v/>
      </c>
      <c r="E29" s="8">
        <f>IFERROR(VLOOKUP(B29,Unit_Costs!$A:$K,10,FALSE),0)</f>
        <v/>
      </c>
      <c r="F29" s="8">
        <f>IFERROR(VLOOKUP(B29,Unit_Costs!$A:$K,11,FALSE),0)</f>
        <v/>
      </c>
    </row>
    <row r="30" ht="22" customHeight="1">
      <c r="A30" s="4" t="inlineStr">
        <is>
          <t>TEXT_IMAGE_VIDEO</t>
        </is>
      </c>
      <c r="B30" s="4" t="inlineStr">
        <is>
          <t>SCENE_CLASSIFY</t>
        </is>
      </c>
      <c r="C30" s="4">
        <f>IFERROR(VLOOKUP(B30,Unit_Costs!$A:$K,4,FALSE),"")</f>
        <v/>
      </c>
      <c r="D30" s="4">
        <f>IFERROR(VLOOKUP(B30,Unit_Costs!$A:$K,3,FALSE),"")</f>
        <v/>
      </c>
      <c r="E30" s="8">
        <f>IFERROR(VLOOKUP(B30,Unit_Costs!$A:$K,10,FALSE),0)</f>
        <v/>
      </c>
      <c r="F30" s="8">
        <f>IFERROR(VLOOKUP(B30,Unit_Costs!$A:$K,11,FALSE),0)</f>
        <v/>
      </c>
    </row>
    <row r="31" ht="22" customHeight="1">
      <c r="A31" s="4" t="inlineStr">
        <is>
          <t>TEXT_IMAGE_VIDEO</t>
        </is>
      </c>
      <c r="B31" s="4" t="inlineStr">
        <is>
          <t>ASSET_ANALYSIS</t>
        </is>
      </c>
      <c r="C31" s="4">
        <f>IFERROR(VLOOKUP(B31,Unit_Costs!$A:$K,4,FALSE),"")</f>
        <v/>
      </c>
      <c r="D31" s="4">
        <f>IFERROR(VLOOKUP(B31,Unit_Costs!$A:$K,3,FALSE),"")</f>
        <v/>
      </c>
      <c r="E31" s="8">
        <f>IFERROR(VLOOKUP(B31,Unit_Costs!$A:$K,10,FALSE),0)</f>
        <v/>
      </c>
      <c r="F31" s="8">
        <f>IFERROR(VLOOKUP(B31,Unit_Costs!$A:$K,11,FALSE),0)</f>
        <v/>
      </c>
    </row>
    <row r="32" ht="22" customHeight="1">
      <c r="A32" s="4" t="inlineStr">
        <is>
          <t>TEXT_IMAGE_VIDEO</t>
        </is>
      </c>
      <c r="B32" s="4" t="inlineStr">
        <is>
          <t>REPORT_REVIEW</t>
        </is>
      </c>
      <c r="C32" s="4">
        <f>IFERROR(VLOOKUP(B32,Unit_Costs!$A:$K,4,FALSE),"")</f>
        <v/>
      </c>
      <c r="D32" s="4">
        <f>IFERROR(VLOOKUP(B32,Unit_Costs!$A:$K,3,FALSE),"")</f>
        <v/>
      </c>
      <c r="E32" s="8">
        <f>IFERROR(VLOOKUP(B32,Unit_Costs!$A:$K,10,FALSE),0)</f>
        <v/>
      </c>
      <c r="F32" s="8">
        <f>IFERROR(VLOOKUP(B32,Unit_Costs!$A:$K,11,FALSE),0)</f>
        <v/>
      </c>
    </row>
    <row r="33" ht="22" customHeight="1">
      <c r="A33" s="4" t="inlineStr">
        <is>
          <t>TEXT_IMAGE_VIDEO</t>
        </is>
      </c>
      <c r="B33" s="4" t="inlineStr">
        <is>
          <t>IMAGE_GEN</t>
        </is>
      </c>
      <c r="C33" s="4">
        <f>IFERROR(VLOOKUP(B33,Unit_Costs!$A:$K,4,FALSE),"")</f>
        <v/>
      </c>
      <c r="D33" s="4">
        <f>IFERROR(VLOOKUP(B33,Unit_Costs!$A:$K,3,FALSE),"")</f>
        <v/>
      </c>
      <c r="E33" s="8">
        <f>IFERROR(VLOOKUP(B33,Unit_Costs!$A:$K,10,FALSE),0)</f>
        <v/>
      </c>
      <c r="F33" s="8">
        <f>IFERROR(VLOOKUP(B33,Unit_Costs!$A:$K,11,FALSE),0)</f>
        <v/>
      </c>
    </row>
    <row r="34" ht="22" customHeight="1">
      <c r="A34" s="4" t="inlineStr">
        <is>
          <t>TEXT_IMAGE_VIDEO</t>
        </is>
      </c>
      <c r="B34" s="4" t="inlineStr">
        <is>
          <t>IMAGE_REWORK</t>
        </is>
      </c>
      <c r="C34" s="4">
        <f>IFERROR(VLOOKUP(B34,Unit_Costs!$A:$K,4,FALSE),"")</f>
        <v/>
      </c>
      <c r="D34" s="4">
        <f>IFERROR(VLOOKUP(B34,Unit_Costs!$A:$K,3,FALSE),"")</f>
        <v/>
      </c>
      <c r="E34" s="8">
        <f>IFERROR(VLOOKUP(B34,Unit_Costs!$A:$K,10,FALSE),0)</f>
        <v/>
      </c>
      <c r="F34" s="8">
        <f>IFERROR(VLOOKUP(B34,Unit_Costs!$A:$K,11,FALSE),0)</f>
        <v/>
      </c>
    </row>
    <row r="35" ht="22" customHeight="1">
      <c r="A35" s="4" t="inlineStr">
        <is>
          <t>TEXT_IMAGE_VIDEO</t>
        </is>
      </c>
      <c r="B35" s="4" t="inlineStr">
        <is>
          <t>VIDEO_GEN</t>
        </is>
      </c>
      <c r="C35" s="4">
        <f>IFERROR(VLOOKUP(B35,Unit_Costs!$A:$K,4,FALSE),"")</f>
        <v/>
      </c>
      <c r="D35" s="4">
        <f>IFERROR(VLOOKUP(B35,Unit_Costs!$A:$K,3,FALSE),"")</f>
        <v/>
      </c>
      <c r="E35" s="8">
        <f>IFERROR(VLOOKUP(B35,Unit_Costs!$A:$K,10,FALSE),0)</f>
        <v/>
      </c>
      <c r="F35" s="8">
        <f>IFERROR(VLOOKUP(B35,Unit_Costs!$A:$K,11,FALSE),0)</f>
        <v/>
      </c>
    </row>
    <row r="36" ht="22" customHeight="1">
      <c r="A36" s="4" t="inlineStr">
        <is>
          <t>TEXT_IMAGE_VIDEO</t>
        </is>
      </c>
      <c r="B36" s="4" t="inlineStr">
        <is>
          <t>VIDEO_REWORK</t>
        </is>
      </c>
      <c r="C36" s="4">
        <f>IFERROR(VLOOKUP(B36,Unit_Costs!$A:$K,4,FALSE),"")</f>
        <v/>
      </c>
      <c r="D36" s="4">
        <f>IFERROR(VLOOKUP(B36,Unit_Costs!$A:$K,3,FALSE),"")</f>
        <v/>
      </c>
      <c r="E36" s="8">
        <f>IFERROR(VLOOKUP(B36,Unit_Costs!$A:$K,10,FALSE),0)</f>
        <v/>
      </c>
      <c r="F36" s="8">
        <f>IFERROR(VLOOKUP(B36,Unit_Costs!$A:$K,11,FALSE),0)</f>
        <v/>
      </c>
    </row>
    <row r="37" ht="22" customHeight="1">
      <c r="A37" s="4" t="inlineStr">
        <is>
          <t>TEXT_IMAGE_VIDEO</t>
        </is>
      </c>
      <c r="B37" s="4" t="inlineStr">
        <is>
          <t>FINAL_PACKAGE</t>
        </is>
      </c>
      <c r="C37" s="4">
        <f>IFERROR(VLOOKUP(B37,Unit_Costs!$A:$K,4,FALSE),"")</f>
        <v/>
      </c>
      <c r="D37" s="4">
        <f>IFERROR(VLOOKUP(B37,Unit_Costs!$A:$K,3,FALSE),"")</f>
        <v/>
      </c>
      <c r="E37" s="8">
        <f>IFERROR(VLOOKUP(B37,Unit_Costs!$A:$K,10,FALSE),0)</f>
        <v/>
      </c>
      <c r="F37" s="8">
        <f>IFERROR(VLOOKUP(B37,Unit_Costs!$A:$K,11,FALSE),0)</f>
        <v/>
      </c>
    </row>
    <row r="38" ht="22" customHeight="1">
      <c r="A38" s="4" t="inlineStr">
        <is>
          <t>TEXT_IMAGE_VIDEO</t>
        </is>
      </c>
      <c r="B38" s="4" t="inlineStr">
        <is>
          <t>FINAL_QA</t>
        </is>
      </c>
      <c r="C38" s="4">
        <f>IFERROR(VLOOKUP(B38,Unit_Costs!$A:$K,4,FALSE),"")</f>
        <v/>
      </c>
      <c r="D38" s="4">
        <f>IFERROR(VLOOKUP(B38,Unit_Costs!$A:$K,3,FALSE),"")</f>
        <v/>
      </c>
      <c r="E38" s="8">
        <f>IFERROR(VLOOKUP(B38,Unit_Costs!$A:$K,10,FALSE),0)</f>
        <v/>
      </c>
      <c r="F38" s="8">
        <f>IFERROR(VLOOKUP(B38,Unit_Costs!$A:$K,11,FALSE),0)</f>
        <v/>
      </c>
    </row>
    <row r="39" ht="22" customHeight="1"/>
    <row r="40" ht="22" customHeight="1"/>
    <row r="41" ht="22" customHeight="1">
      <c r="A41" s="3" t="inlineStr">
        <is>
          <t>项目类型汇总</t>
        </is>
      </c>
      <c r="B41" s="3" t="inlineStr">
        <is>
          <t>预算低值(USD)</t>
        </is>
      </c>
      <c r="C41" s="3" t="inlineStr">
        <is>
          <t>预算高值(USD)</t>
        </is>
      </c>
      <c r="D41" s="3" t="n"/>
      <c r="E41" s="3" t="n"/>
      <c r="F41" s="3" t="n"/>
    </row>
    <row r="42" ht="22" customHeight="1">
      <c r="A42" t="inlineStr">
        <is>
          <t>TEXT_ONLY</t>
        </is>
      </c>
      <c r="B42" s="11">
        <f>SUMIF($A$4:$A$38,A42,$E$4:$E$38)</f>
        <v/>
      </c>
      <c r="C42" s="11">
        <f>SUMIF($A$4:$A$38,A42,$F$4:$F$38)</f>
        <v/>
      </c>
    </row>
    <row r="43" ht="22" customHeight="1">
      <c r="A43" t="inlineStr">
        <is>
          <t>TEXT_STORYBOARD</t>
        </is>
      </c>
      <c r="B43" s="11">
        <f>SUMIF($A$4:$A$38,A43,$E$4:$E$38)</f>
        <v/>
      </c>
      <c r="C43" s="11">
        <f>SUMIF($A$4:$A$38,A43,$F$4:$F$38)</f>
        <v/>
      </c>
    </row>
    <row r="44" ht="22" customHeight="1">
      <c r="A44" t="inlineStr">
        <is>
          <t>TEXT_IMAGE</t>
        </is>
      </c>
      <c r="B44" s="11">
        <f>SUMIF($A$4:$A$38,A44,$E$4:$E$38)</f>
        <v/>
      </c>
      <c r="C44" s="11">
        <f>SUMIF($A$4:$A$38,A44,$F$4:$F$38)</f>
        <v/>
      </c>
    </row>
    <row r="45" ht="22" customHeight="1">
      <c r="A45" t="inlineStr">
        <is>
          <t>TEXT_IMAGE_VIDEO</t>
        </is>
      </c>
      <c r="B45" s="11">
        <f>SUMIF($A$4:$A$38,A45,$E$4:$E$38)</f>
        <v/>
      </c>
      <c r="C45" s="11">
        <f>SUMIF($A$4:$A$38,A45,$F$4:$F$38)</f>
        <v/>
      </c>
    </row>
  </sheetData>
  <autoFilter ref="A3:F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2" customWidth="1" min="4" max="4"/>
    <col width="18" customWidth="1" min="5" max="5"/>
    <col width="18" customWidth="1" min="6" max="6"/>
    <col width="64" customWidth="1" min="8" max="8"/>
  </cols>
  <sheetData>
    <row r="1" ht="22" customHeight="1">
      <c r="A1" s="10" t="inlineStr">
        <is>
          <t>Tahoe 月预算</t>
        </is>
      </c>
    </row>
    <row r="2" ht="22" customHeight="1"/>
    <row r="3" ht="22" customHeight="1">
      <c r="A3" s="2" t="inlineStr">
        <is>
          <t>项目预算</t>
        </is>
      </c>
      <c r="H3" s="2" t="inlineStr">
        <is>
          <t>当前假设</t>
        </is>
      </c>
    </row>
    <row r="4" ht="22" customHeight="1">
      <c r="A4" s="3" t="inlineStr">
        <is>
          <t>项目类型</t>
        </is>
      </c>
      <c r="B4" s="3" t="inlineStr">
        <is>
          <t>月数量</t>
        </is>
      </c>
      <c r="C4" s="3" t="inlineStr">
        <is>
          <t>单项目预算低值(USD)</t>
        </is>
      </c>
      <c r="D4" s="3" t="inlineStr">
        <is>
          <t>单项目预算高值(USD)</t>
        </is>
      </c>
      <c r="E4" s="3" t="inlineStr">
        <is>
          <t>小计低值(USD)</t>
        </is>
      </c>
      <c r="F4" s="3" t="inlineStr">
        <is>
          <t>小计高值(USD)</t>
        </is>
      </c>
      <c r="H4" t="inlineStr">
        <is>
          <t>项目量假设：TEXT_ONLY 40 / TEXT_STORYBOARD 18 / TEXT_IMAGE 10 / TEXT_IMAGE_VIDEO 6</t>
        </is>
      </c>
    </row>
    <row r="5" ht="22" customHeight="1">
      <c r="A5" s="4" t="inlineStr">
        <is>
          <t>TEXT_ONLY</t>
        </is>
      </c>
      <c r="B5" s="4" t="n">
        <v>40</v>
      </c>
      <c r="C5" s="8">
        <f>Project_Estimator!B41</f>
        <v/>
      </c>
      <c r="D5" s="8">
        <f>Project_Estimator!C41</f>
        <v/>
      </c>
      <c r="E5" s="8">
        <f>B5*C5</f>
        <v/>
      </c>
      <c r="F5" s="8">
        <f>B5*D5</f>
        <v/>
      </c>
      <c r="H5" t="inlineStr">
        <is>
          <t>工具订阅已计入：ChatGPT Plus、Google AI Ultra(当前 $125/月)、See Dance 月摊</t>
        </is>
      </c>
    </row>
    <row r="6" ht="22" customHeight="1">
      <c r="A6" s="4" t="inlineStr">
        <is>
          <t>TEXT_STORYBOARD</t>
        </is>
      </c>
      <c r="B6" s="4" t="n">
        <v>18</v>
      </c>
      <c r="C6" s="8">
        <f>Project_Estimator!B42</f>
        <v/>
      </c>
      <c r="D6" s="8">
        <f>Project_Estimator!C42</f>
        <v/>
      </c>
      <c r="E6" s="8">
        <f>B6*C6</f>
        <v/>
      </c>
      <c r="F6" s="8">
        <f>B6*D6</f>
        <v/>
      </c>
      <c r="H6" t="inlineStr">
        <is>
          <t>Google AI Ultra 从 2026-05 起若涨到 $250/月，请把 Parameters 的工具订阅改为 298.92 USD</t>
        </is>
      </c>
    </row>
    <row r="7" ht="22" customHeight="1">
      <c r="A7" s="4" t="inlineStr">
        <is>
          <t>TEXT_IMAGE</t>
        </is>
      </c>
      <c r="B7" s="4" t="n">
        <v>10</v>
      </c>
      <c r="C7" s="8">
        <f>Project_Estimator!B43</f>
        <v/>
      </c>
      <c r="D7" s="8">
        <f>Project_Estimator!C43</f>
        <v/>
      </c>
      <c r="E7" s="8">
        <f>B7*C7</f>
        <v/>
      </c>
      <c r="F7" s="8">
        <f>B7*D7</f>
        <v/>
      </c>
      <c r="H7" t="inlineStr">
        <is>
          <t>服务器 / 数据库成本为预算占位值，后续可替换为真实账单</t>
        </is>
      </c>
    </row>
    <row r="8" ht="22" customHeight="1">
      <c r="A8" s="4" t="inlineStr">
        <is>
          <t>TEXT_IMAGE_VIDEO</t>
        </is>
      </c>
      <c r="B8" s="4" t="n">
        <v>6</v>
      </c>
      <c r="C8" s="8">
        <f>Project_Estimator!B44</f>
        <v/>
      </c>
      <c r="D8" s="8">
        <f>Project_Estimator!C44</f>
        <v/>
      </c>
      <c r="E8" s="8">
        <f>B8*C8</f>
        <v/>
      </c>
      <c r="F8" s="8">
        <f>B8*D8</f>
        <v/>
      </c>
    </row>
    <row r="9" ht="22" customHeight="1"/>
    <row r="10" ht="22" customHeight="1"/>
    <row r="11" ht="22" customHeight="1">
      <c r="A11" s="2" t="inlineStr">
        <is>
          <t>固定成本预算</t>
        </is>
      </c>
    </row>
    <row r="12" ht="22" customHeight="1">
      <c r="A12" s="3" t="inlineStr">
        <is>
          <t>固定成本项</t>
        </is>
      </c>
      <c r="B12" s="3" t="inlineStr">
        <is>
          <t>月预算(USD)</t>
        </is>
      </c>
      <c r="C12" s="3" t="inlineStr">
        <is>
          <t>说明</t>
        </is>
      </c>
      <c r="D12" s="3" t="n"/>
      <c r="E12" s="3" t="n"/>
      <c r="F12" s="3" t="n"/>
    </row>
    <row r="13" ht="22" customHeight="1">
      <c r="A13" s="4" t="inlineStr">
        <is>
          <t>云服务器</t>
        </is>
      </c>
      <c r="B13" s="8">
        <f>Parameters!B3</f>
        <v/>
      </c>
      <c r="C13" s="4" t="inlineStr">
        <is>
          <t>服务器月固定成本</t>
        </is>
      </c>
    </row>
    <row r="14" ht="22" customHeight="1">
      <c r="A14" s="4" t="inlineStr">
        <is>
          <t>数据库 / 存储 / CDN</t>
        </is>
      </c>
      <c r="B14" s="8">
        <f>Parameters!B4</f>
        <v/>
      </c>
      <c r="C14" s="4" t="inlineStr">
        <is>
          <t>数据库、存储、CDN</t>
        </is>
      </c>
    </row>
    <row r="15" ht="22" customHeight="1">
      <c r="A15" s="4" t="inlineStr">
        <is>
          <t>SerpApi 固定月费</t>
        </is>
      </c>
      <c r="B15" s="8">
        <f>Parameters!B5</f>
        <v/>
      </c>
      <c r="C15" s="4" t="inlineStr">
        <is>
          <t>固定 API 套餐</t>
        </is>
      </c>
    </row>
    <row r="16" ht="22" customHeight="1">
      <c r="A16" s="4" t="inlineStr">
        <is>
          <t>其他固定技术成本</t>
        </is>
      </c>
      <c r="B16" s="8">
        <f>Parameters!B6</f>
        <v/>
      </c>
      <c r="C16" s="4" t="inlineStr">
        <is>
          <t>其他基础设施</t>
        </is>
      </c>
    </row>
    <row r="17" ht="22" customHeight="1">
      <c r="A17" s="4" t="inlineStr">
        <is>
          <t>工具订阅</t>
        </is>
      </c>
      <c r="B17" s="8">
        <f>Parameters!B7</f>
        <v/>
      </c>
      <c r="C17" s="4" t="inlineStr">
        <is>
          <t>若要纳入平台预算可填写</t>
        </is>
      </c>
    </row>
    <row r="18" ht="22" customHeight="1">
      <c r="A18" s="4" t="inlineStr">
        <is>
          <t>研发人工</t>
        </is>
      </c>
      <c r="B18" s="8">
        <f>Parameters!B8</f>
        <v/>
      </c>
      <c r="C18" s="4" t="inlineStr">
        <is>
          <t>开发成本</t>
        </is>
      </c>
    </row>
    <row r="19" ht="22" customHeight="1">
      <c r="A19" s="4" t="inlineStr">
        <is>
          <t>测试 / 运维 / 设计人工</t>
        </is>
      </c>
      <c r="B19" s="8">
        <f>Parameters!B9</f>
        <v/>
      </c>
      <c r="C19" s="4" t="inlineStr">
        <is>
          <t>运营与交付支持</t>
        </is>
      </c>
    </row>
    <row r="20" ht="22" customHeight="1"/>
    <row r="21" ht="22" customHeight="1"/>
    <row r="22" ht="22" customHeight="1">
      <c r="A22" s="2" t="inlineStr">
        <is>
          <t>预算汇总</t>
        </is>
      </c>
    </row>
    <row r="23" ht="22" customHeight="1">
      <c r="A23" s="4" t="inlineStr">
        <is>
          <t>项目直接成本低值</t>
        </is>
      </c>
      <c r="B23" s="8">
        <f>SUM(E5:E8)</f>
        <v/>
      </c>
    </row>
    <row r="24" ht="22" customHeight="1">
      <c r="A24" s="4" t="inlineStr">
        <is>
          <t>项目直接成本高值</t>
        </is>
      </c>
      <c r="B24" s="8">
        <f>SUM(F5:F8)</f>
        <v/>
      </c>
    </row>
    <row r="25" ht="22" customHeight="1">
      <c r="A25" s="4" t="inlineStr">
        <is>
          <t>固定成本合计</t>
        </is>
      </c>
      <c r="B25" s="8">
        <f>SUM(B13:B19)</f>
        <v/>
      </c>
    </row>
    <row r="26" ht="22" customHeight="1">
      <c r="A26" s="4" t="inlineStr">
        <is>
          <t>风险预留低值</t>
        </is>
      </c>
      <c r="B26" s="8">
        <f>($B$23+$B$25)*Parameters!B2</f>
        <v/>
      </c>
    </row>
    <row r="27" ht="22" customHeight="1">
      <c r="A27" s="4" t="inlineStr">
        <is>
          <t>风险预留高值</t>
        </is>
      </c>
      <c r="B27" s="8">
        <f>($B$24+$B$25)*Parameters!B2</f>
        <v/>
      </c>
    </row>
    <row r="28" ht="22" customHeight="1">
      <c r="A28" s="4" t="inlineStr">
        <is>
          <t>月总预算低值</t>
        </is>
      </c>
      <c r="B28" s="8">
        <f>B23+B25+B26</f>
        <v/>
      </c>
    </row>
    <row r="29" ht="22" customHeight="1">
      <c r="A29" s="4" t="inlineStr">
        <is>
          <t>月总预算高值</t>
        </is>
      </c>
      <c r="B29" s="8">
        <f>B24+B25+B27</f>
        <v/>
      </c>
    </row>
    <row r="30" ht="22" customHeight="1">
      <c r="A30" s="4" t="inlineStr">
        <is>
          <t>折人民币低值</t>
        </is>
      </c>
      <c r="B30" s="8">
        <f>B28*Parameters!B1</f>
        <v/>
      </c>
    </row>
    <row r="31" ht="22" customHeight="1">
      <c r="A31" s="4" t="inlineStr">
        <is>
          <t>折人民币高值</t>
        </is>
      </c>
      <c r="B31" s="8">
        <f>B29*Parameters!B1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30" customWidth="1" min="21" max="21"/>
  </cols>
  <sheetData>
    <row r="1" ht="22" customHeight="1">
      <c r="A1" s="3" t="inlineStr">
        <is>
          <t>项目ID</t>
        </is>
      </c>
      <c r="B1" s="3" t="inlineStr">
        <is>
          <t>项目名称</t>
        </is>
      </c>
      <c r="C1" s="3" t="inlineStr">
        <is>
          <t>业务线</t>
        </is>
      </c>
      <c r="D1" s="3" t="inlineStr">
        <is>
          <t>生产深度</t>
        </is>
      </c>
      <c r="E1" s="3" t="inlineStr">
        <is>
          <t>状态</t>
        </is>
      </c>
      <c r="F1" s="3" t="inlineStr">
        <is>
          <t>开始日期</t>
        </is>
      </c>
      <c r="G1" s="3" t="inlineStr">
        <is>
          <t>上架日期</t>
        </is>
      </c>
      <c r="H1" s="3" t="inlineStr">
        <is>
          <t>文本版本数</t>
        </is>
      </c>
      <c r="I1" s="3" t="inlineStr">
        <is>
          <t>图片尝试数</t>
        </is>
      </c>
      <c r="J1" s="3" t="inlineStr">
        <is>
          <t>视频尝试数</t>
        </is>
      </c>
      <c r="K1" s="3" t="inlineStr">
        <is>
          <t>搜索成本(USD)</t>
        </is>
      </c>
      <c r="L1" s="3" t="inlineStr">
        <is>
          <t>文本成本(USD)</t>
        </is>
      </c>
      <c r="M1" s="3" t="inlineStr">
        <is>
          <t>图片成本(USD)</t>
        </is>
      </c>
      <c r="N1" s="3" t="inlineStr">
        <is>
          <t>视频成本(USD)</t>
        </is>
      </c>
      <c r="O1" s="3" t="inlineStr">
        <is>
          <t>Review成本(USD)</t>
        </is>
      </c>
      <c r="P1" s="3" t="inlineStr">
        <is>
          <t>上架交付成本(USD)</t>
        </is>
      </c>
      <c r="Q1" s="3" t="inlineStr">
        <is>
          <t>固定成本分摊(USD)</t>
        </is>
      </c>
      <c r="R1" s="3" t="inlineStr">
        <is>
          <t>总成本(USD)</t>
        </is>
      </c>
      <c r="S1" s="3" t="inlineStr">
        <is>
          <t>项目收入(USD)</t>
        </is>
      </c>
      <c r="T1" s="3" t="inlineStr">
        <is>
          <t>毛利(USD)</t>
        </is>
      </c>
      <c r="U1" s="3" t="inlineStr">
        <is>
          <t>备注</t>
        </is>
      </c>
    </row>
    <row r="2" ht="22" customHeight="1">
      <c r="A2" s="4" t="inlineStr"/>
      <c r="B2" s="4" t="inlineStr"/>
      <c r="C2" s="4" t="inlineStr"/>
      <c r="D2" s="4" t="inlineStr"/>
      <c r="E2" s="4" t="inlineStr"/>
      <c r="F2" s="4" t="inlineStr"/>
      <c r="G2" s="4" t="inlineStr"/>
      <c r="H2" s="4" t="n">
        <v>0</v>
      </c>
      <c r="I2" s="4" t="n">
        <v>0</v>
      </c>
      <c r="J2" s="4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>
        <f>SUM(K2:Q2)</f>
        <v/>
      </c>
      <c r="S2" s="8" t="n">
        <v>0</v>
      </c>
      <c r="T2" s="8">
        <f>S2-R2</f>
        <v/>
      </c>
      <c r="U2" s="4" t="inlineStr"/>
    </row>
    <row r="3" ht="22" customHeight="1">
      <c r="A3" s="4" t="inlineStr"/>
      <c r="B3" s="4" t="inlineStr"/>
      <c r="C3" s="4" t="inlineStr"/>
      <c r="D3" s="4" t="inlineStr"/>
      <c r="E3" s="4" t="inlineStr"/>
      <c r="F3" s="4" t="inlineStr"/>
      <c r="G3" s="4" t="inlineStr"/>
      <c r="H3" s="4" t="n">
        <v>0</v>
      </c>
      <c r="I3" s="4" t="n">
        <v>0</v>
      </c>
      <c r="J3" s="4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>
        <f>SUM(K3:Q3)</f>
        <v/>
      </c>
      <c r="S3" s="8" t="n">
        <v>0</v>
      </c>
      <c r="T3" s="8">
        <f>S3-R3</f>
        <v/>
      </c>
      <c r="U3" s="4" t="inlineStr"/>
    </row>
    <row r="4" ht="22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n">
        <v>0</v>
      </c>
      <c r="I4" s="4" t="n">
        <v>0</v>
      </c>
      <c r="J4" s="4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>
        <f>SUM(K4:Q4)</f>
        <v/>
      </c>
      <c r="S4" s="8" t="n">
        <v>0</v>
      </c>
      <c r="T4" s="8">
        <f>S4-R4</f>
        <v/>
      </c>
      <c r="U4" s="4" t="inlineStr"/>
    </row>
    <row r="5" ht="22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n">
        <v>0</v>
      </c>
      <c r="I5" s="4" t="n">
        <v>0</v>
      </c>
      <c r="J5" s="4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>
        <f>SUM(K5:Q5)</f>
        <v/>
      </c>
      <c r="S5" s="8" t="n">
        <v>0</v>
      </c>
      <c r="T5" s="8">
        <f>S5-R5</f>
        <v/>
      </c>
      <c r="U5" s="4" t="inlineStr"/>
    </row>
    <row r="6" ht="22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n">
        <v>0</v>
      </c>
      <c r="I6" s="4" t="n">
        <v>0</v>
      </c>
      <c r="J6" s="4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>
        <f>SUM(K6:Q6)</f>
        <v/>
      </c>
      <c r="S6" s="8" t="n">
        <v>0</v>
      </c>
      <c r="T6" s="8">
        <f>S6-R6</f>
        <v/>
      </c>
      <c r="U6" s="4" t="inlineStr"/>
    </row>
    <row r="7" ht="22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n">
        <v>0</v>
      </c>
      <c r="I7" s="4" t="n">
        <v>0</v>
      </c>
      <c r="J7" s="4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>
        <f>SUM(K7:Q7)</f>
        <v/>
      </c>
      <c r="S7" s="8" t="n">
        <v>0</v>
      </c>
      <c r="T7" s="8">
        <f>S7-R7</f>
        <v/>
      </c>
      <c r="U7" s="4" t="inlineStr"/>
    </row>
    <row r="8" ht="22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n">
        <v>0</v>
      </c>
      <c r="I8" s="4" t="n">
        <v>0</v>
      </c>
      <c r="J8" s="4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>
        <f>SUM(K8:Q8)</f>
        <v/>
      </c>
      <c r="S8" s="8" t="n">
        <v>0</v>
      </c>
      <c r="T8" s="8">
        <f>S8-R8</f>
        <v/>
      </c>
      <c r="U8" s="4" t="inlineStr"/>
    </row>
    <row r="9" ht="22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n">
        <v>0</v>
      </c>
      <c r="I9" s="4" t="n">
        <v>0</v>
      </c>
      <c r="J9" s="4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>
        <f>SUM(K9:Q9)</f>
        <v/>
      </c>
      <c r="S9" s="8" t="n">
        <v>0</v>
      </c>
      <c r="T9" s="8">
        <f>S9-R9</f>
        <v/>
      </c>
      <c r="U9" s="4" t="inlineStr"/>
    </row>
    <row r="10" ht="22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n">
        <v>0</v>
      </c>
      <c r="I10" s="4" t="n">
        <v>0</v>
      </c>
      <c r="J10" s="4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>
        <f>SUM(K10:Q10)</f>
        <v/>
      </c>
      <c r="S10" s="8" t="n">
        <v>0</v>
      </c>
      <c r="T10" s="8">
        <f>S10-R10</f>
        <v/>
      </c>
      <c r="U10" s="4" t="inlineStr"/>
    </row>
    <row r="11" ht="22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n">
        <v>0</v>
      </c>
      <c r="I11" s="4" t="n">
        <v>0</v>
      </c>
      <c r="J11" s="4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>
        <f>SUM(K11:Q11)</f>
        <v/>
      </c>
      <c r="S11" s="8" t="n">
        <v>0</v>
      </c>
      <c r="T11" s="8">
        <f>S11-R11</f>
        <v/>
      </c>
      <c r="U11" s="4" t="inlineStr"/>
    </row>
    <row r="12" ht="22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n">
        <v>0</v>
      </c>
      <c r="I12" s="4" t="n">
        <v>0</v>
      </c>
      <c r="J12" s="4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>
        <f>SUM(K12:Q12)</f>
        <v/>
      </c>
      <c r="S12" s="8" t="n">
        <v>0</v>
      </c>
      <c r="T12" s="8">
        <f>S12-R12</f>
        <v/>
      </c>
      <c r="U12" s="4" t="inlineStr"/>
    </row>
    <row r="13" ht="22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n">
        <v>0</v>
      </c>
      <c r="I13" s="4" t="n">
        <v>0</v>
      </c>
      <c r="J13" s="4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>
        <f>SUM(K13:Q13)</f>
        <v/>
      </c>
      <c r="S13" s="8" t="n">
        <v>0</v>
      </c>
      <c r="T13" s="8">
        <f>S13-R13</f>
        <v/>
      </c>
      <c r="U13" s="4" t="inlineStr"/>
    </row>
    <row r="14" ht="22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n">
        <v>0</v>
      </c>
      <c r="I14" s="4" t="n">
        <v>0</v>
      </c>
      <c r="J14" s="4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>
        <f>SUM(K14:Q14)</f>
        <v/>
      </c>
      <c r="S14" s="8" t="n">
        <v>0</v>
      </c>
      <c r="T14" s="8">
        <f>S14-R14</f>
        <v/>
      </c>
      <c r="U14" s="4" t="inlineStr"/>
    </row>
    <row r="15" ht="22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n">
        <v>0</v>
      </c>
      <c r="I15" s="4" t="n">
        <v>0</v>
      </c>
      <c r="J15" s="4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>
        <f>SUM(K15:Q15)</f>
        <v/>
      </c>
      <c r="S15" s="8" t="n">
        <v>0</v>
      </c>
      <c r="T15" s="8">
        <f>S15-R15</f>
        <v/>
      </c>
      <c r="U15" s="4" t="inlineStr"/>
    </row>
    <row r="16" ht="22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n">
        <v>0</v>
      </c>
      <c r="I16" s="4" t="n">
        <v>0</v>
      </c>
      <c r="J16" s="4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>
        <f>SUM(K16:Q16)</f>
        <v/>
      </c>
      <c r="S16" s="8" t="n">
        <v>0</v>
      </c>
      <c r="T16" s="8">
        <f>S16-R16</f>
        <v/>
      </c>
      <c r="U16" s="4" t="inlineStr"/>
    </row>
  </sheetData>
  <autoFilter ref="A1:U200"/>
  <dataValidations count="3">
    <dataValidation sqref="C2:C200" showDropDown="0" showInputMessage="0" showErrorMessage="0" allowBlank="1" type="list">
      <formula1>"MARS_CITIZEN,MARKETING"</formula1>
    </dataValidation>
    <dataValidation sqref="D2:D200" showDropDown="0" showInputMessage="0" showErrorMessage="0" allowBlank="1" type="list">
      <formula1>"TEXT_ONLY,TEXT_STORYBOARD,TEXT_IMAGE,TEXT_IMAGE_VIDEO"</formula1>
    </dataValidation>
    <dataValidation sqref="E2:E200" showDropDown="0" showInputMessage="0" showErrorMessage="0" allowBlank="1" type="list">
      <formula1>"DRAFT,IN_PROGRESS,READY_TO_PUBLISH,PUBLISHED,ARCHIVED"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4" customWidth="1" min="3" max="3"/>
    <col width="16" customWidth="1" min="4" max="4"/>
    <col width="16" customWidth="1" min="5" max="5"/>
    <col width="44" customWidth="1" min="6" max="6"/>
  </cols>
  <sheetData>
    <row r="1" ht="22" customHeight="1">
      <c r="A1" s="3" t="inlineStr">
        <is>
          <t>订阅项</t>
        </is>
      </c>
      <c r="B1" s="3" t="inlineStr">
        <is>
          <t>币种</t>
        </is>
      </c>
      <c r="C1" s="3" t="inlineStr">
        <is>
          <t>当前金额</t>
        </is>
      </c>
      <c r="D1" s="3" t="inlineStr">
        <is>
          <t>折月金额(USD)</t>
        </is>
      </c>
      <c r="E1" s="3" t="inlineStr">
        <is>
          <t>计入口径</t>
        </is>
      </c>
      <c r="F1" s="3" t="inlineStr">
        <is>
          <t>备注</t>
        </is>
      </c>
    </row>
    <row r="2" ht="22" customHeight="1">
      <c r="A2" s="4" t="inlineStr">
        <is>
          <t>ChatGPT Plus</t>
        </is>
      </c>
      <c r="B2" s="4" t="inlineStr">
        <is>
          <t>USD</t>
        </is>
      </c>
      <c r="C2" s="8" t="n">
        <v>20</v>
      </c>
      <c r="D2" s="8" t="n">
        <v>20</v>
      </c>
      <c r="E2" s="4" t="inlineStr">
        <is>
          <t>工具订阅</t>
        </is>
      </c>
      <c r="F2" s="4" t="inlineStr">
        <is>
          <t>个人订阅；若平台统一使用可计入管理工具费</t>
        </is>
      </c>
    </row>
    <row r="3" ht="22" customHeight="1">
      <c r="A3" s="4" t="inlineStr">
        <is>
          <t>Google AI Ultra</t>
        </is>
      </c>
      <c r="B3" s="4" t="inlineStr">
        <is>
          <t>USD</t>
        </is>
      </c>
      <c r="C3" s="8" t="n">
        <v>125</v>
      </c>
      <c r="D3" s="8" t="n">
        <v>125</v>
      </c>
      <c r="E3" s="4" t="inlineStr">
        <is>
          <t>工具订阅</t>
        </is>
      </c>
      <c r="F3" s="4" t="inlineStr">
        <is>
          <t>当前 2026-03/04 促销价；2026-05 起预计 $250/月</t>
        </is>
      </c>
    </row>
    <row r="4" ht="22" customHeight="1">
      <c r="A4" s="4" t="inlineStr">
        <is>
          <t>See Dance</t>
        </is>
      </c>
      <c r="B4" s="4" t="inlineStr">
        <is>
          <t>CNY</t>
        </is>
      </c>
      <c r="C4" s="8" t="n">
        <v>2499</v>
      </c>
      <c r="D4" s="8" t="n">
        <v>28.92</v>
      </c>
      <c r="E4" s="4" t="inlineStr">
        <is>
          <t>工具订阅</t>
        </is>
      </c>
      <c r="F4" s="4" t="inlineStr">
        <is>
          <t>按年费 / 12 / 汇率 7.2 折算</t>
        </is>
      </c>
    </row>
    <row r="5" ht="22" customHeight="1">
      <c r="A5" s="4" t="inlineStr">
        <is>
          <t>SerpApi</t>
        </is>
      </c>
      <c r="B5" s="4" t="inlineStr">
        <is>
          <t>USD</t>
        </is>
      </c>
      <c r="C5" s="8" t="n">
        <v>25</v>
      </c>
      <c r="D5" s="8" t="n">
        <v>25</v>
      </c>
      <c r="E5" s="4" t="inlineStr">
        <is>
          <t>固定技术成本</t>
        </is>
      </c>
      <c r="F5" s="4" t="inlineStr">
        <is>
          <t>平台固定 API 套餐</t>
        </is>
      </c>
    </row>
    <row r="6" ht="22" customHeight="1"/>
    <row r="7" ht="22" customHeight="1"/>
    <row r="8" ht="22" customHeight="1">
      <c r="A8" s="2" t="inlineStr">
        <is>
          <t>说明</t>
        </is>
      </c>
    </row>
    <row r="9" ht="22" customHeight="1">
      <c r="A9" t="inlineStr">
        <is>
          <t>如果你想只看平台 API / 交付成本，可在 Monthly_Budget 里把工具订阅行清零。</t>
        </is>
      </c>
    </row>
    <row r="10" ht="22" customHeight="1">
      <c r="A10" t="inlineStr">
        <is>
          <t>如果你想看完整经营成本，则保留工具订阅、固定技术成本与人工。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40" customWidth="1" min="4" max="4"/>
    <col width="54" customWidth="1" min="5" max="5"/>
    <col width="28" customWidth="1" min="6" max="6"/>
  </cols>
  <sheetData>
    <row r="1" ht="22" customHeight="1">
      <c r="A1" s="3" t="inlineStr">
        <is>
          <t>日期</t>
        </is>
      </c>
      <c r="B1" s="3" t="inlineStr">
        <is>
          <t>类别</t>
        </is>
      </c>
      <c r="C1" s="3" t="inlineStr">
        <is>
          <t>项目</t>
        </is>
      </c>
      <c r="D1" s="3" t="inlineStr">
        <is>
          <t>价格摘记</t>
        </is>
      </c>
      <c r="E1" s="3" t="inlineStr">
        <is>
          <t>来源</t>
        </is>
      </c>
      <c r="F1" s="3" t="inlineStr">
        <is>
          <t>备注</t>
        </is>
      </c>
    </row>
    <row r="2" ht="22" customHeight="1">
      <c r="A2" s="4" t="inlineStr">
        <is>
          <t>2026-03-24</t>
        </is>
      </c>
      <c r="B2" s="4" t="inlineStr">
        <is>
          <t>OpenAI</t>
        </is>
      </c>
      <c r="C2" s="4" t="inlineStr">
        <is>
          <t>GPT-5.4</t>
        </is>
      </c>
      <c r="D2" s="4" t="inlineStr">
        <is>
          <t>Input $2.50 / 1M, Output $15.00 / 1M</t>
        </is>
      </c>
      <c r="E2" s="4" t="inlineStr">
        <is>
          <t>https://openai.com/api/pricing/</t>
        </is>
      </c>
      <c r="F2" s="4" t="inlineStr">
        <is>
          <t>官方 API 定价页</t>
        </is>
      </c>
    </row>
    <row r="3" ht="22" customHeight="1">
      <c r="A3" s="4" t="inlineStr">
        <is>
          <t>2026-03-24</t>
        </is>
      </c>
      <c r="B3" s="4" t="inlineStr">
        <is>
          <t>OpenAI</t>
        </is>
      </c>
      <c r="C3" s="4" t="inlineStr">
        <is>
          <t>GPT-5 mini</t>
        </is>
      </c>
      <c r="D3" s="4" t="inlineStr">
        <is>
          <t>Input $0.25 / 1M, Output $2.00 / 1M</t>
        </is>
      </c>
      <c r="E3" s="4" t="inlineStr">
        <is>
          <t>https://openai.com/api/pricing/</t>
        </is>
      </c>
      <c r="F3" s="4" t="inlineStr">
        <is>
          <t>用于 gpt-5.4-mini 预算代理口径</t>
        </is>
      </c>
    </row>
    <row r="4" ht="22" customHeight="1">
      <c r="A4" s="4" t="inlineStr">
        <is>
          <t>2026-03-24</t>
        </is>
      </c>
      <c r="B4" s="4" t="inlineStr">
        <is>
          <t>Gemini</t>
        </is>
      </c>
      <c r="C4" s="4" t="inlineStr">
        <is>
          <t>Gemini 3 Pro Preview</t>
        </is>
      </c>
      <c r="D4" s="4" t="inlineStr">
        <is>
          <t>Input $2 / 1M, Output $12 / 1M (&lt;=200K prompts)</t>
        </is>
      </c>
      <c r="E4" s="4" t="inlineStr">
        <is>
          <t>https://ai.google.dev/pricing</t>
        </is>
      </c>
      <c r="F4" s="4" t="inlineStr">
        <is>
          <t>官方 Gemini Developer API 定价</t>
        </is>
      </c>
    </row>
    <row r="5" ht="22" customHeight="1">
      <c r="A5" s="4" t="inlineStr">
        <is>
          <t>2026-03-24</t>
        </is>
      </c>
      <c r="B5" s="4" t="inlineStr">
        <is>
          <t>Gemini</t>
        </is>
      </c>
      <c r="C5" s="4" t="inlineStr">
        <is>
          <t>Gemini 3 Pro Image Preview</t>
        </is>
      </c>
      <c r="D5" s="4" t="inlineStr">
        <is>
          <t>1K/2K image about $0.134 each; 4K about $0.24 each</t>
        </is>
      </c>
      <c r="E5" s="4" t="inlineStr">
        <is>
          <t>https://ai.google.dev/gemini-api/docs/pricing?hl=fr</t>
        </is>
      </c>
      <c r="F5" s="4" t="inlineStr">
        <is>
          <t>官方定价页不同语言镜像，内容一致</t>
        </is>
      </c>
    </row>
    <row r="6" ht="22" customHeight="1">
      <c r="A6" s="4" t="inlineStr">
        <is>
          <t>2026-03-24</t>
        </is>
      </c>
      <c r="B6" s="4" t="inlineStr">
        <is>
          <t>Gemini</t>
        </is>
      </c>
      <c r="C6" s="4" t="inlineStr">
        <is>
          <t>Veo 3.1</t>
        </is>
      </c>
      <c r="D6" s="4" t="inlineStr">
        <is>
          <t>Fast $0.15/s, Standard $0.40/s</t>
        </is>
      </c>
      <c r="E6" s="4" t="inlineStr">
        <is>
          <t>https://ai.google.dev/pricing</t>
        </is>
      </c>
      <c r="F6" s="4" t="inlineStr">
        <is>
          <t>官方 Gemini Developer API 定价</t>
        </is>
      </c>
    </row>
    <row r="7" ht="22" customHeight="1">
      <c r="A7" s="4" t="inlineStr">
        <is>
          <t>2026-03-24</t>
        </is>
      </c>
      <c r="B7" s="4" t="inlineStr">
        <is>
          <t>Qwen</t>
        </is>
      </c>
      <c r="C7" s="4" t="inlineStr">
        <is>
          <t>qwen3-max</t>
        </is>
      </c>
      <c r="D7" s="4" t="inlineStr">
        <is>
          <t>Input $1.2 / 1M, Output $6 / 1M (&lt;=32K)</t>
        </is>
      </c>
      <c r="E7" s="4" t="inlineStr">
        <is>
          <t>https://www.alibabacloud.com/help/en/model-studio/billing-for-model-studio</t>
        </is>
      </c>
      <c r="F7" s="4" t="inlineStr">
        <is>
          <t>官方 Model Studio 文档</t>
        </is>
      </c>
    </row>
    <row r="8" ht="22" customHeight="1">
      <c r="A8" s="4" t="inlineStr">
        <is>
          <t>2026-03-24</t>
        </is>
      </c>
      <c r="B8" s="4" t="inlineStr">
        <is>
          <t>Qwen</t>
        </is>
      </c>
      <c r="C8" s="4" t="inlineStr">
        <is>
          <t>qwen3.5-plus</t>
        </is>
      </c>
      <c r="D8" s="4" t="inlineStr">
        <is>
          <t>Input $0.115 / 1M, Output $0.688 / 1M (&lt;=128K)</t>
        </is>
      </c>
      <c r="E8" s="4" t="inlineStr">
        <is>
          <t>https://www.alibabacloud.com/help/en/model-studio/getting-started/models</t>
        </is>
      </c>
      <c r="F8" s="4" t="inlineStr">
        <is>
          <t>官方 Model Studio 文档</t>
        </is>
      </c>
    </row>
    <row r="9" ht="22" customHeight="1">
      <c r="A9" s="4" t="inlineStr">
        <is>
          <t>2026-03-24</t>
        </is>
      </c>
      <c r="B9" s="4" t="inlineStr">
        <is>
          <t>Search</t>
        </is>
      </c>
      <c r="C9" s="4" t="inlineStr">
        <is>
          <t>Serper</t>
        </is>
      </c>
      <c r="D9" s="4" t="inlineStr">
        <is>
          <t>$50 / 50k credits = $0.001 per query</t>
        </is>
      </c>
      <c r="E9" s="4" t="inlineStr">
        <is>
          <t>https://serper.dev/</t>
        </is>
      </c>
      <c r="F9" s="4" t="inlineStr">
        <is>
          <t>官方站点 pricing</t>
        </is>
      </c>
    </row>
    <row r="10" ht="22" customHeight="1">
      <c r="A10" s="4" t="inlineStr">
        <is>
          <t>2026-03-24</t>
        </is>
      </c>
      <c r="B10" s="4" t="inlineStr">
        <is>
          <t>Search</t>
        </is>
      </c>
      <c r="C10" s="4" t="inlineStr">
        <is>
          <t>SerpApi</t>
        </is>
      </c>
      <c r="D10" s="4" t="inlineStr">
        <is>
          <t>$25 / 1k searches = $0.025 per query</t>
        </is>
      </c>
      <c r="E10" s="4" t="inlineStr">
        <is>
          <t>https://serpapi.com/pricing</t>
        </is>
      </c>
      <c r="F10" s="4" t="inlineStr">
        <is>
          <t>官方 pricing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2026-03-24T07:14:27Z</dcterms:created>
  <dcterms:modified xmlns:dcterms="http://purl.org/dc/terms/" xmlns:xsi="http://www.w3.org/2001/XMLSchema-instance" xsi:type="dcterms:W3CDTF">2026-03-24T07:14:27Z</dcterms:modified>
</cp:coreProperties>
</file>